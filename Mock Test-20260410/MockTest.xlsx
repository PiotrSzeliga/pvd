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esktop\Kod\pvd\Mock Test-20260410\"/>
    </mc:Choice>
  </mc:AlternateContent>
  <xr:revisionPtr revIDLastSave="0" documentId="13_ncr:1_{FA61E5AC-EB00-42F8-B507-E2E37A768680}" xr6:coauthVersionLast="47" xr6:coauthVersionMax="47" xr10:uidLastSave="{00000000-0000-0000-0000-000000000000}"/>
  <bookViews>
    <workbookView xWindow="13710" yWindow="0" windowWidth="24690" windowHeight="21150" xr2:uid="{0292836F-61A7-416C-B137-D5FBB3722A73}"/>
  </bookViews>
  <sheets>
    <sheet name="Scalanie2" sheetId="8" r:id="rId1"/>
    <sheet name="Arkusz2" sheetId="9" r:id="rId2"/>
    <sheet name="users" sheetId="6" r:id="rId3"/>
    <sheet name="stations" sheetId="5" r:id="rId4"/>
    <sheet name="rides" sheetId="4" r:id="rId5"/>
    <sheet name="payments" sheetId="3" r:id="rId6"/>
    <sheet name="bikes" sheetId="2" r:id="rId7"/>
  </sheets>
  <definedNames>
    <definedName name="_xlnm._FilterDatabase" localSheetId="1" hidden="1">Arkusz2!$A$71:$B$102</definedName>
    <definedName name="ExternalData_1" localSheetId="6" hidden="1">bikes!$A$1:$D$21</definedName>
    <definedName name="ExternalData_2" localSheetId="5" hidden="1">payments!$A$1:$D$151</definedName>
    <definedName name="ExternalData_3" localSheetId="4" hidden="1">'rides'!$A$1:$G$151</definedName>
    <definedName name="ExternalData_4" localSheetId="3" hidden="1">stations!$A$1:$D$11</definedName>
    <definedName name="ExternalData_5" localSheetId="2" hidden="1">users!$A$1:$E$31</definedName>
    <definedName name="ExternalData_7" localSheetId="0" hidden="1">Scalanie2!$A$1:$W$151</definedName>
  </definedNames>
  <calcPr calcId="191029"/>
  <pivotCaches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8" l="1"/>
  <c r="X3" i="8"/>
  <c r="A1" i="9" s="1" a="1"/>
  <c r="A1" i="9" s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H123" i="9" a="1"/>
  <c r="H123" i="9" s="1"/>
  <c r="E124" i="9"/>
  <c r="E125" i="9"/>
  <c r="E126" i="9"/>
  <c r="E127" i="9"/>
  <c r="E128" i="9"/>
  <c r="E129" i="9"/>
  <c r="E130" i="9"/>
  <c r="E131" i="9"/>
  <c r="E132" i="9"/>
  <c r="E133" i="9"/>
  <c r="D124" i="9"/>
  <c r="D125" i="9"/>
  <c r="D126" i="9"/>
  <c r="D127" i="9"/>
  <c r="D128" i="9"/>
  <c r="D129" i="9"/>
  <c r="D130" i="9"/>
  <c r="D131" i="9"/>
  <c r="D132" i="9"/>
  <c r="D133" i="9"/>
  <c r="G106" i="9"/>
  <c r="G107" i="9"/>
  <c r="G108" i="9"/>
  <c r="G109" i="9"/>
  <c r="G110" i="9"/>
  <c r="G111" i="9"/>
  <c r="G112" i="9"/>
  <c r="G113" i="9"/>
  <c r="G114" i="9"/>
  <c r="G115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7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8F604-C611-45A0-B540-56F8BB46FF8D}" keepAlive="1" name="Zapytanie — bikes" description="Połączenie z zapytaniem „bikes” w skoroszycie." type="5" refreshedVersion="8" background="1" saveData="1">
    <dbPr connection="Provider=Microsoft.Mashup.OleDb.1;Data Source=$Workbook$;Location=bikes;Extended Properties=&quot;&quot;" command="SELECT * FROM [bikes]"/>
  </connection>
  <connection id="2" xr16:uid="{860FEB50-B910-49D2-BCCC-39A6B3F4DC14}" keepAlive="1" name="Zapytanie — payments" description="Połączenie z zapytaniem „payments” w skoroszycie." type="5" refreshedVersion="8" background="1" saveData="1">
    <dbPr connection="Provider=Microsoft.Mashup.OleDb.1;Data Source=$Workbook$;Location=payments;Extended Properties=&quot;&quot;" command="SELECT * FROM [payments]"/>
  </connection>
  <connection id="3" xr16:uid="{BEA5250F-AA53-4200-9E9B-A1405B3ACF03}" keepAlive="1" name="Zapytanie — rides" description="Połączenie z zapytaniem „rides” w skoroszycie." type="5" refreshedVersion="8" background="1" saveData="1">
    <dbPr connection="Provider=Microsoft.Mashup.OleDb.1;Data Source=$Workbook$;Location=rides;Extended Properties=&quot;&quot;" command="SELECT * FROM [rides]"/>
  </connection>
  <connection id="4" xr16:uid="{B215916D-932A-46F1-ADB2-D3A2C90F1AC6}" keepAlive="1" name="Zapytanie — Scalanie1" description="Połączenie z zapytaniem „Scalanie1” w skoroszycie." type="5" refreshedVersion="8" background="1" saveData="1">
    <dbPr connection="Provider=Microsoft.Mashup.OleDb.1;Data Source=$Workbook$;Location=Scalanie1;Extended Properties=&quot;&quot;" command="SELECT * FROM [Scalanie1]"/>
  </connection>
  <connection id="5" xr16:uid="{52024EB2-5BBD-486E-9B2E-FB38F9875AE1}" keepAlive="1" name="Zapytanie — Scalanie2" description="Połączenie z zapytaniem „Scalanie2” w skoroszycie." type="5" refreshedVersion="8" background="1" saveData="1">
    <dbPr connection="Provider=Microsoft.Mashup.OleDb.1;Data Source=$Workbook$;Location=Scalanie2;Extended Properties=&quot;&quot;" command="SELECT * FROM [Scalanie2]"/>
  </connection>
  <connection id="6" xr16:uid="{C0982538-FC0B-423C-A250-688826E86CD7}" keepAlive="1" name="Zapytanie — stations" description="Połączenie z zapytaniem „stations” w skoroszycie." type="5" refreshedVersion="8" background="1" saveData="1">
    <dbPr connection="Provider=Microsoft.Mashup.OleDb.1;Data Source=$Workbook$;Location=stations;Extended Properties=&quot;&quot;" command="SELECT * FROM [stations]"/>
  </connection>
  <connection id="7" xr16:uid="{95955EFE-C558-4016-998A-A9DF3275774E}" keepAlive="1" name="Zapytanie — users" description="Połączenie z zapytaniem „users” w skoroszycie." type="5" refreshedVersion="8" background="1" saveData="1">
    <dbPr connection="Provider=Microsoft.Mashup.OleDb.1;Data Source=$Workbook$;Location=users;Extended Properties=&quot;&quot;" command="SELECT * FROM [us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<sst xmlns="http://schemas.openxmlformats.org/spreadsheetml/2006/main" count="1993" uniqueCount="119">
  <si>
    <t>bike_id</t>
  </si>
  <si>
    <t>bike_type</t>
  </si>
  <si>
    <t>purchase_year</t>
  </si>
  <si>
    <t>status</t>
  </si>
  <si>
    <t>standard</t>
  </si>
  <si>
    <t>maintenance</t>
  </si>
  <si>
    <t>electric</t>
  </si>
  <si>
    <t>active</t>
  </si>
  <si>
    <t>retired</t>
  </si>
  <si>
    <t>cargo</t>
  </si>
  <si>
    <t>payment_id</t>
  </si>
  <si>
    <t>ride_id</t>
  </si>
  <si>
    <t>amount_PLN</t>
  </si>
  <si>
    <t>payment_type</t>
  </si>
  <si>
    <t>subscription</t>
  </si>
  <si>
    <t>single</t>
  </si>
  <si>
    <t>promo</t>
  </si>
  <si>
    <t>user_id</t>
  </si>
  <si>
    <t>start_station</t>
  </si>
  <si>
    <t>end_station</t>
  </si>
  <si>
    <t>duration_min</t>
  </si>
  <si>
    <t>ride_date</t>
  </si>
  <si>
    <t>station_id</t>
  </si>
  <si>
    <t>station_name</t>
  </si>
  <si>
    <t>district</t>
  </si>
  <si>
    <t>capacity</t>
  </si>
  <si>
    <t>Station 1</t>
  </si>
  <si>
    <t>Nowa Huta</t>
  </si>
  <si>
    <t>Station 2</t>
  </si>
  <si>
    <t>Kazimierz</t>
  </si>
  <si>
    <t>Station 3</t>
  </si>
  <si>
    <t>Bronowice</t>
  </si>
  <si>
    <t>Station 4</t>
  </si>
  <si>
    <t>Old Town</t>
  </si>
  <si>
    <t>Station 5</t>
  </si>
  <si>
    <t>Zwierzyniec</t>
  </si>
  <si>
    <t>Station 6</t>
  </si>
  <si>
    <t>Podgorze</t>
  </si>
  <si>
    <t>Station 7</t>
  </si>
  <si>
    <t>Station 8</t>
  </si>
  <si>
    <t>Station 9</t>
  </si>
  <si>
    <t>Station 10</t>
  </si>
  <si>
    <t>name</t>
  </si>
  <si>
    <t>user_type</t>
  </si>
  <si>
    <t>city</t>
  </si>
  <si>
    <t>registration_year</t>
  </si>
  <si>
    <t>Daniel Brown</t>
  </si>
  <si>
    <t>tourist</t>
  </si>
  <si>
    <t>Vienna</t>
  </si>
  <si>
    <t>Piotr Lee</t>
  </si>
  <si>
    <t>Warsaw</t>
  </si>
  <si>
    <t>Mark Wilson</t>
  </si>
  <si>
    <t>Paris</t>
  </si>
  <si>
    <t>Alice Wilson</t>
  </si>
  <si>
    <t>student</t>
  </si>
  <si>
    <t>Prague</t>
  </si>
  <si>
    <t>Paul Brown</t>
  </si>
  <si>
    <t>Mark Lopez</t>
  </si>
  <si>
    <t>Madrid</t>
  </si>
  <si>
    <t>Anna Brown</t>
  </si>
  <si>
    <t>Anna Lee</t>
  </si>
  <si>
    <t>London</t>
  </si>
  <si>
    <t>Emma Clark</t>
  </si>
  <si>
    <t>Thomas Nowak</t>
  </si>
  <si>
    <t>Daniel Clark</t>
  </si>
  <si>
    <t>Paul Anderson</t>
  </si>
  <si>
    <t>Emma Smith</t>
  </si>
  <si>
    <t>Robert Wilson</t>
  </si>
  <si>
    <t>Anna Hernandez</t>
  </si>
  <si>
    <t>Thomas Anderson</t>
  </si>
  <si>
    <t>Emma Novak</t>
  </si>
  <si>
    <t>Olivia Clark</t>
  </si>
  <si>
    <t>regular</t>
  </si>
  <si>
    <t>Maria Smith</t>
  </si>
  <si>
    <t>Krakow</t>
  </si>
  <si>
    <t>Maria Clark</t>
  </si>
  <si>
    <t>Eva Martin</t>
  </si>
  <si>
    <t>Olivia Lee</t>
  </si>
  <si>
    <t>Berlin</t>
  </si>
  <si>
    <t>Mark Nowak</t>
  </si>
  <si>
    <t>Julia Anderson</t>
  </si>
  <si>
    <t>David Wilson</t>
  </si>
  <si>
    <t>Michael Lopez</t>
  </si>
  <si>
    <t>Julia Hernandez</t>
  </si>
  <si>
    <t>Alice Garcia</t>
  </si>
  <si>
    <t>Maria Garcia</t>
  </si>
  <si>
    <t>Olivia Brown</t>
  </si>
  <si>
    <t>rides.ride_id</t>
  </si>
  <si>
    <t>rides.bike_id</t>
  </si>
  <si>
    <t>rides.start_station</t>
  </si>
  <si>
    <t>rides.end_station</t>
  </si>
  <si>
    <t>rides.duration_min</t>
  </si>
  <si>
    <t>rides.ride_date</t>
  </si>
  <si>
    <t>stations.station_name</t>
  </si>
  <si>
    <t>stations.district</t>
  </si>
  <si>
    <t>stations.capacity</t>
  </si>
  <si>
    <t>stations.station_name.1</t>
  </si>
  <si>
    <t>stations.district.1</t>
  </si>
  <si>
    <t>stations.capacity.1</t>
  </si>
  <si>
    <t>payments.payment_id</t>
  </si>
  <si>
    <t>payments.amount_PLN</t>
  </si>
  <si>
    <t>payments.payment_type</t>
  </si>
  <si>
    <t>bikes.bike_type</t>
  </si>
  <si>
    <t>bikes.purchase_year</t>
  </si>
  <si>
    <t>bikes.status</t>
  </si>
  <si>
    <t>Etykiety wierszy</t>
  </si>
  <si>
    <t>Suma końcowa</t>
  </si>
  <si>
    <t>Liczba z name</t>
  </si>
  <si>
    <t>Suma z rides.duration_min</t>
  </si>
  <si>
    <t>Średnia z rides.duration_min</t>
  </si>
  <si>
    <t>Suma z payments.amount_PLN</t>
  </si>
  <si>
    <t>Kolumna1</t>
  </si>
  <si>
    <t>Liczba z stations.station_name</t>
  </si>
  <si>
    <t>Liczba z stations.station_name.1</t>
  </si>
  <si>
    <t>Inbalans</t>
  </si>
  <si>
    <t>Stacja</t>
  </si>
  <si>
    <t>Ilość startów</t>
  </si>
  <si>
    <t>Ilość końców</t>
  </si>
  <si>
    <t>Klasyfikacja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</si>
</sst>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tyl tabeli 1" pivot="0" count="0" xr9:uid="{D8D091A8-E834-43ED-803E-9066E47D7A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" refreshedDate="46129.034664120372" createdVersion="8" refreshedVersion="8" minRefreshableVersion="3" recordCount="150" xr:uid="{9BA4E9E6-DD7A-4A9D-B97C-9E57D6E2D8FB}">
  <cacheSource type="worksheet">
    <worksheetSource name="tabela_cala"/>
  </cacheSource>
  <cacheFields count="23">
    <cacheField name="user_id" numFmtId="0">
      <sharedItems containsSemiMixedTypes="0" containsString="0" containsNumber="1" containsInteger="1" minValue="1" maxValue="30"/>
    </cacheField>
    <cacheField name="name" numFmtId="0">
      <sharedItems count="30">
        <s v="Anna Lee"/>
        <s v="Anna Hernandez"/>
        <s v="Mark Wilson"/>
        <s v="Robert Wilson"/>
        <s v="Julia Anderson"/>
        <s v="Maria Clark"/>
        <s v="Piotr Lee"/>
        <s v="Alice Wilson"/>
        <s v="Alice Garcia"/>
        <s v="Emma Clark"/>
        <s v="Paul Brown"/>
        <s v="Emma Smith"/>
        <s v="Daniel Clark"/>
        <s v="Anna Brown"/>
        <s v="Thomas Nowak"/>
        <s v="Olivia Brown"/>
        <s v="Paul Anderson"/>
        <s v="Olivia Clark"/>
        <s v="David Wilson"/>
        <s v="Maria Garcia"/>
        <s v="Daniel Brown"/>
        <s v="Michael Lopez"/>
        <s v="Olivia Lee"/>
        <s v="Thomas Anderson"/>
        <s v="Julia Hernandez"/>
        <s v="Mark Nowak"/>
        <s v="Maria Smith"/>
        <s v="Eva Martin"/>
        <s v="Mark Lopez"/>
        <s v="Emma Novak"/>
      </sharedItems>
    </cacheField>
    <cacheField name="user_type" numFmtId="0">
      <sharedItems/>
    </cacheField>
    <cacheField name="city" numFmtId="0">
      <sharedItems/>
    </cacheField>
    <cacheField name="registration_year" numFmtId="0">
      <sharedItems containsSemiMixedTypes="0" containsString="0" containsNumber="1" containsInteger="1" minValue="2019" maxValue="2025"/>
    </cacheField>
    <cacheField name="rides.ride_id" numFmtId="0">
      <sharedItems containsSemiMixedTypes="0" containsString="0" containsNumber="1" containsInteger="1" minValue="1" maxValue="150"/>
    </cacheField>
    <cacheField name="rides.bike_id" numFmtId="0">
      <sharedItems containsSemiMixedTypes="0" containsString="0" containsNumber="1" containsInteger="1" minValue="1" maxValue="20"/>
    </cacheField>
    <cacheField name="rides.duration_min" numFmtId="0">
      <sharedItems containsSemiMixedTypes="0" containsString="0" containsNumber="1" containsInteger="1" minValue="5" maxValue="60" count="51">
        <n v="17"/>
        <n v="11"/>
        <n v="18"/>
        <n v="47"/>
        <n v="8"/>
        <n v="22"/>
        <n v="48"/>
        <n v="31"/>
        <n v="35"/>
        <n v="20"/>
        <n v="15"/>
        <n v="13"/>
        <n v="58"/>
        <n v="55"/>
        <n v="23"/>
        <n v="37"/>
        <n v="10"/>
        <n v="5"/>
        <n v="33"/>
        <n v="9"/>
        <n v="60"/>
        <n v="40"/>
        <n v="45"/>
        <n v="27"/>
        <n v="52"/>
        <n v="59"/>
        <n v="57"/>
        <n v="30"/>
        <n v="26"/>
        <n v="16"/>
        <n v="32"/>
        <n v="12"/>
        <n v="50"/>
        <n v="51"/>
        <n v="25"/>
        <n v="24"/>
        <n v="14"/>
        <n v="19"/>
        <n v="44"/>
        <n v="53"/>
        <n v="56"/>
        <n v="6"/>
        <n v="34"/>
        <n v="21"/>
        <n v="54"/>
        <n v="41"/>
        <n v="28"/>
        <n v="49"/>
        <n v="7"/>
        <n v="39"/>
        <n v="36"/>
      </sharedItems>
    </cacheField>
    <cacheField name="rides.ride_date" numFmtId="14">
      <sharedItems containsSemiMixedTypes="0" containsNonDate="0" containsDate="1" containsString="0" minDate="2025-03-01T00:00:00" maxDate="2025-04-01T00:00:00"/>
    </cacheField>
    <cacheField name="rides.start_station" numFmtId="0">
      <sharedItems containsSemiMixedTypes="0" containsString="0" containsNumber="1" containsInteger="1" minValue="1" maxValue="10" count="10">
        <n v="6"/>
        <n v="4"/>
        <n v="10"/>
        <n v="8"/>
        <n v="1"/>
        <n v="3"/>
        <n v="9"/>
        <n v="5"/>
        <n v="7"/>
        <n v="2"/>
      </sharedItems>
    </cacheField>
    <cacheField name="stations.station_name" numFmtId="0">
      <sharedItems count="10">
        <s v="Station 6"/>
        <s v="Station 4"/>
        <s v="Station 10"/>
        <s v="Station 8"/>
        <s v="Station 1"/>
        <s v="Station 3"/>
        <s v="Station 9"/>
        <s v="Station 5"/>
        <s v="Station 7"/>
        <s v="Station 2"/>
      </sharedItems>
    </cacheField>
    <cacheField name="stations.district" numFmtId="0">
      <sharedItems/>
    </cacheField>
    <cacheField name="stations.capacity" numFmtId="0">
      <sharedItems containsSemiMixedTypes="0" containsString="0" containsNumber="1" containsInteger="1" minValue="18" maxValue="45"/>
    </cacheField>
    <cacheField name="rides.end_station" numFmtId="0">
      <sharedItems containsSemiMixedTypes="0" containsString="0" containsNumber="1" containsInteger="1" minValue="1" maxValue="10"/>
    </cacheField>
    <cacheField name="stations.station_name.1" numFmtId="0">
      <sharedItems count="10">
        <s v="Station 2"/>
        <s v="Station 5"/>
        <s v="Station 10"/>
        <s v="Station 3"/>
        <s v="Station 1"/>
        <s v="Station 7"/>
        <s v="Station 4"/>
        <s v="Station 9"/>
        <s v="Station 6"/>
        <s v="Station 8"/>
      </sharedItems>
    </cacheField>
    <cacheField name="stations.district.1" numFmtId="0">
      <sharedItems/>
    </cacheField>
    <cacheField name="stations.capacity.1" numFmtId="0">
      <sharedItems containsSemiMixedTypes="0" containsString="0" containsNumber="1" containsInteger="1" minValue="18" maxValue="45"/>
    </cacheField>
    <cacheField name="payments.payment_id" numFmtId="0">
      <sharedItems containsSemiMixedTypes="0" containsString="0" containsNumber="1" containsInteger="1" minValue="1" maxValue="150"/>
    </cacheField>
    <cacheField name="payments.amount_PLN" numFmtId="0">
      <sharedItems containsSemiMixedTypes="0" containsString="0" containsNumber="1" minValue="2.11" maxValue="14.99" count="136">
        <n v="8.3000000000000007"/>
        <n v="14.13"/>
        <n v="10.1"/>
        <n v="8.15"/>
        <n v="12.3"/>
        <n v="11.92"/>
        <n v="6.32"/>
        <n v="13.84"/>
        <n v="3.98"/>
        <n v="12.99"/>
        <n v="14.75"/>
        <n v="6.98"/>
        <n v="14.61"/>
        <n v="5.74"/>
        <n v="5.89"/>
        <n v="7.34"/>
        <n v="9.0299999999999994"/>
        <n v="3.87"/>
        <n v="5.05"/>
        <n v="6.96"/>
        <n v="3.64"/>
        <n v="12.16"/>
        <n v="10.77"/>
        <n v="3.04"/>
        <n v="14.4"/>
        <n v="6.66"/>
        <n v="13.54"/>
        <n v="11.88"/>
        <n v="3.17"/>
        <n v="3.31"/>
        <n v="6.22"/>
        <n v="5.17"/>
        <n v="10.86"/>
        <n v="4.28"/>
        <n v="6.97"/>
        <n v="8.4700000000000006"/>
        <n v="5.0199999999999996"/>
        <n v="7.97"/>
        <n v="13.69"/>
        <n v="2.96"/>
        <n v="14.84"/>
        <n v="14.51"/>
        <n v="7.94"/>
        <n v="14.99"/>
        <n v="3.39"/>
        <n v="6.67"/>
        <n v="11.09"/>
        <n v="12.79"/>
        <n v="2.11"/>
        <n v="12.12"/>
        <n v="12.83"/>
        <n v="12.08"/>
        <n v="12.43"/>
        <n v="4.47"/>
        <n v="11.82"/>
        <n v="10.85"/>
        <n v="3.26"/>
        <n v="2.5099999999999998"/>
        <n v="2.4300000000000002"/>
        <n v="3.71"/>
        <n v="6.25"/>
        <n v="4.6100000000000003"/>
        <n v="13.39"/>
        <n v="8.52"/>
        <n v="4.1399999999999997"/>
        <n v="14.27"/>
        <n v="5.84"/>
        <n v="12.46"/>
        <n v="2.98"/>
        <n v="4.93"/>
        <n v="5.44"/>
        <n v="6.79"/>
        <n v="5.41"/>
        <n v="10.3"/>
        <n v="10.050000000000001"/>
        <n v="6.26"/>
        <n v="10.42"/>
        <n v="8.0399999999999991"/>
        <n v="10.44"/>
        <n v="2.59"/>
        <n v="14.95"/>
        <n v="7.05"/>
        <n v="14.34"/>
        <n v="9.02"/>
        <n v="11.45"/>
        <n v="10.51"/>
        <n v="10"/>
        <n v="5.64"/>
        <n v="4.82"/>
        <n v="5.07"/>
        <n v="13.72"/>
        <n v="2.79"/>
        <n v="14.59"/>
        <n v="12.71"/>
        <n v="4.76"/>
        <n v="14.62"/>
        <n v="6.34"/>
        <n v="12.23"/>
        <n v="9.6199999999999992"/>
        <n v="5.03"/>
        <n v="12.25"/>
        <n v="5.6"/>
        <n v="12.38"/>
        <n v="13.26"/>
        <n v="9.66"/>
        <n v="5.45"/>
        <n v="7.47"/>
        <n v="2.83"/>
        <n v="6.71"/>
        <n v="7.88"/>
        <n v="13.81"/>
        <n v="5.92"/>
        <n v="2.4"/>
        <n v="13.01"/>
        <n v="3.4"/>
        <n v="7.77"/>
        <n v="6.19"/>
        <n v="9.61"/>
        <n v="6.95"/>
        <n v="5.83"/>
        <n v="7.59"/>
        <n v="3.49"/>
        <n v="13.41"/>
        <n v="13.25"/>
        <n v="13.55"/>
        <n v="12.76"/>
        <n v="11.48"/>
        <n v="6.06"/>
        <n v="8.17"/>
        <n v="3.11"/>
        <n v="11.68"/>
        <n v="3.69"/>
        <n v="14.44"/>
        <n v="10.71"/>
        <n v="13.36"/>
        <n v="7.5"/>
      </sharedItems>
    </cacheField>
    <cacheField name="payments.payment_type" numFmtId="0">
      <sharedItems count="3">
        <s v="subscription"/>
        <s v="single"/>
        <s v="promo"/>
      </sharedItems>
    </cacheField>
    <cacheField name="bikes.bike_type" numFmtId="0">
      <sharedItems/>
    </cacheField>
    <cacheField name="bikes.purchase_year" numFmtId="0">
      <sharedItems containsSemiMixedTypes="0" containsString="0" containsNumber="1" containsInteger="1" minValue="2017" maxValue="2024"/>
    </cacheField>
    <cacheField name="bikes.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8"/>
    <x v="0"/>
    <s v="student"/>
    <s v="London"/>
    <n v="2019"/>
    <n v="1"/>
    <n v="7"/>
    <x v="0"/>
    <d v="2025-03-18T00:00:00"/>
    <x v="0"/>
    <x v="0"/>
    <s v="Podgorze"/>
    <n v="42"/>
    <n v="2"/>
    <x v="0"/>
    <s v="Kazimierz"/>
    <n v="45"/>
    <n v="1"/>
    <x v="0"/>
    <x v="0"/>
    <s v="electric"/>
    <n v="2018"/>
    <s v="retired"/>
  </r>
  <r>
    <n v="15"/>
    <x v="1"/>
    <s v="tourist"/>
    <s v="London"/>
    <n v="2020"/>
    <n v="3"/>
    <n v="18"/>
    <x v="1"/>
    <d v="2025-03-02T00:00:00"/>
    <x v="1"/>
    <x v="1"/>
    <s v="Old Town"/>
    <n v="21"/>
    <n v="2"/>
    <x v="0"/>
    <s v="Kazimierz"/>
    <n v="45"/>
    <n v="3"/>
    <x v="1"/>
    <x v="1"/>
    <s v="standard"/>
    <n v="2022"/>
    <s v="active"/>
  </r>
  <r>
    <n v="3"/>
    <x v="2"/>
    <s v="tourist"/>
    <s v="Paris"/>
    <n v="2019"/>
    <n v="18"/>
    <n v="18"/>
    <x v="2"/>
    <d v="2025-03-17T00:00:00"/>
    <x v="2"/>
    <x v="2"/>
    <s v="Old Town"/>
    <n v="40"/>
    <n v="2"/>
    <x v="0"/>
    <s v="Kazimierz"/>
    <n v="45"/>
    <n v="18"/>
    <x v="2"/>
    <x v="0"/>
    <s v="standard"/>
    <n v="2022"/>
    <s v="active"/>
  </r>
  <r>
    <n v="14"/>
    <x v="3"/>
    <s v="student"/>
    <s v="Warsaw"/>
    <n v="2022"/>
    <n v="7"/>
    <n v="18"/>
    <x v="3"/>
    <d v="2025-03-23T00:00:00"/>
    <x v="3"/>
    <x v="3"/>
    <s v="Zwierzyniec"/>
    <n v="18"/>
    <n v="5"/>
    <x v="1"/>
    <s v="Zwierzyniec"/>
    <n v="42"/>
    <n v="7"/>
    <x v="3"/>
    <x v="2"/>
    <s v="standard"/>
    <n v="2022"/>
    <s v="active"/>
  </r>
  <r>
    <n v="24"/>
    <x v="4"/>
    <s v="student"/>
    <s v="Berlin"/>
    <n v="2023"/>
    <n v="9"/>
    <n v="18"/>
    <x v="4"/>
    <d v="2025-03-24T00:00:00"/>
    <x v="4"/>
    <x v="4"/>
    <s v="Nowa Huta"/>
    <n v="45"/>
    <n v="10"/>
    <x v="2"/>
    <s v="Old Town"/>
    <n v="40"/>
    <n v="9"/>
    <x v="4"/>
    <x v="1"/>
    <s v="standard"/>
    <n v="2022"/>
    <s v="active"/>
  </r>
  <r>
    <n v="14"/>
    <x v="3"/>
    <s v="student"/>
    <s v="Warsaw"/>
    <n v="2022"/>
    <n v="2"/>
    <n v="6"/>
    <x v="5"/>
    <d v="2025-03-15T00:00:00"/>
    <x v="3"/>
    <x v="3"/>
    <s v="Zwierzyniec"/>
    <n v="18"/>
    <n v="3"/>
    <x v="3"/>
    <s v="Bronowice"/>
    <n v="27"/>
    <n v="2"/>
    <x v="5"/>
    <x v="0"/>
    <s v="standard"/>
    <n v="2018"/>
    <s v="active"/>
  </r>
  <r>
    <n v="20"/>
    <x v="5"/>
    <s v="regular"/>
    <s v="Warsaw"/>
    <n v="2020"/>
    <n v="12"/>
    <n v="3"/>
    <x v="6"/>
    <d v="2025-03-28T00:00:00"/>
    <x v="5"/>
    <x v="5"/>
    <s v="Bronowice"/>
    <n v="27"/>
    <n v="2"/>
    <x v="0"/>
    <s v="Kazimierz"/>
    <n v="45"/>
    <n v="12"/>
    <x v="6"/>
    <x v="0"/>
    <s v="standard"/>
    <n v="2017"/>
    <s v="active"/>
  </r>
  <r>
    <n v="20"/>
    <x v="5"/>
    <s v="regular"/>
    <s v="Warsaw"/>
    <n v="2020"/>
    <n v="14"/>
    <n v="3"/>
    <x v="7"/>
    <d v="2025-03-22T00:00:00"/>
    <x v="2"/>
    <x v="2"/>
    <s v="Old Town"/>
    <n v="40"/>
    <n v="1"/>
    <x v="4"/>
    <s v="Nowa Huta"/>
    <n v="45"/>
    <n v="14"/>
    <x v="7"/>
    <x v="0"/>
    <s v="standard"/>
    <n v="2017"/>
    <s v="active"/>
  </r>
  <r>
    <n v="2"/>
    <x v="6"/>
    <s v="tourist"/>
    <s v="Warsaw"/>
    <n v="2024"/>
    <n v="10"/>
    <n v="19"/>
    <x v="8"/>
    <d v="2025-03-17T00:00:00"/>
    <x v="0"/>
    <x v="0"/>
    <s v="Podgorze"/>
    <n v="42"/>
    <n v="1"/>
    <x v="4"/>
    <s v="Nowa Huta"/>
    <n v="45"/>
    <n v="10"/>
    <x v="8"/>
    <x v="2"/>
    <s v="standard"/>
    <n v="2021"/>
    <s v="active"/>
  </r>
  <r>
    <n v="4"/>
    <x v="7"/>
    <s v="student"/>
    <s v="Prague"/>
    <n v="2023"/>
    <n v="13"/>
    <n v="19"/>
    <x v="9"/>
    <d v="2025-03-19T00:00:00"/>
    <x v="1"/>
    <x v="1"/>
    <s v="Old Town"/>
    <n v="21"/>
    <n v="7"/>
    <x v="5"/>
    <s v="Bronowice"/>
    <n v="44"/>
    <n v="13"/>
    <x v="9"/>
    <x v="0"/>
    <s v="standard"/>
    <n v="2021"/>
    <s v="active"/>
  </r>
  <r>
    <n v="3"/>
    <x v="2"/>
    <s v="tourist"/>
    <s v="Paris"/>
    <n v="2019"/>
    <n v="4"/>
    <n v="8"/>
    <x v="10"/>
    <d v="2025-03-14T00:00:00"/>
    <x v="6"/>
    <x v="6"/>
    <s v="Zwierzyniec"/>
    <n v="21"/>
    <n v="1"/>
    <x v="4"/>
    <s v="Nowa Huta"/>
    <n v="45"/>
    <n v="4"/>
    <x v="10"/>
    <x v="0"/>
    <s v="cargo"/>
    <n v="2019"/>
    <s v="active"/>
  </r>
  <r>
    <n v="28"/>
    <x v="8"/>
    <s v="tourist"/>
    <s v="Vienna"/>
    <n v="2025"/>
    <n v="5"/>
    <n v="13"/>
    <x v="4"/>
    <d v="2025-03-06T00:00:00"/>
    <x v="3"/>
    <x v="3"/>
    <s v="Zwierzyniec"/>
    <n v="18"/>
    <n v="4"/>
    <x v="6"/>
    <s v="Old Town"/>
    <n v="21"/>
    <n v="5"/>
    <x v="11"/>
    <x v="1"/>
    <s v="cargo"/>
    <n v="2024"/>
    <s v="active"/>
  </r>
  <r>
    <n v="9"/>
    <x v="9"/>
    <s v="student"/>
    <s v="London"/>
    <n v="2025"/>
    <n v="16"/>
    <n v="13"/>
    <x v="11"/>
    <d v="2025-03-22T00:00:00"/>
    <x v="0"/>
    <x v="0"/>
    <s v="Podgorze"/>
    <n v="42"/>
    <n v="4"/>
    <x v="6"/>
    <s v="Old Town"/>
    <n v="21"/>
    <n v="16"/>
    <x v="12"/>
    <x v="0"/>
    <s v="cargo"/>
    <n v="2024"/>
    <s v="active"/>
  </r>
  <r>
    <n v="3"/>
    <x v="2"/>
    <s v="tourist"/>
    <s v="Paris"/>
    <n v="2019"/>
    <n v="25"/>
    <n v="14"/>
    <x v="12"/>
    <d v="2025-03-09T00:00:00"/>
    <x v="7"/>
    <x v="7"/>
    <s v="Zwierzyniec"/>
    <n v="42"/>
    <n v="1"/>
    <x v="4"/>
    <s v="Nowa Huta"/>
    <n v="45"/>
    <n v="25"/>
    <x v="13"/>
    <x v="0"/>
    <s v="standard"/>
    <n v="2018"/>
    <s v="active"/>
  </r>
  <r>
    <n v="5"/>
    <x v="10"/>
    <s v="tourist"/>
    <s v="Prague"/>
    <n v="2024"/>
    <n v="29"/>
    <n v="14"/>
    <x v="11"/>
    <d v="2025-03-02T00:00:00"/>
    <x v="2"/>
    <x v="2"/>
    <s v="Old Town"/>
    <n v="40"/>
    <n v="9"/>
    <x v="7"/>
    <s v="Zwierzyniec"/>
    <n v="21"/>
    <n v="29"/>
    <x v="14"/>
    <x v="0"/>
    <s v="standard"/>
    <n v="2018"/>
    <s v="active"/>
  </r>
  <r>
    <n v="13"/>
    <x v="11"/>
    <s v="tourist"/>
    <s v="Prague"/>
    <n v="2025"/>
    <n v="6"/>
    <n v="9"/>
    <x v="13"/>
    <d v="2025-03-26T00:00:00"/>
    <x v="8"/>
    <x v="8"/>
    <s v="Bronowice"/>
    <n v="44"/>
    <n v="1"/>
    <x v="4"/>
    <s v="Nowa Huta"/>
    <n v="45"/>
    <n v="6"/>
    <x v="15"/>
    <x v="0"/>
    <s v="electric"/>
    <n v="2019"/>
    <s v="active"/>
  </r>
  <r>
    <n v="5"/>
    <x v="10"/>
    <s v="tourist"/>
    <s v="Prague"/>
    <n v="2024"/>
    <n v="23"/>
    <n v="9"/>
    <x v="14"/>
    <d v="2025-03-20T00:00:00"/>
    <x v="9"/>
    <x v="9"/>
    <s v="Kazimierz"/>
    <n v="45"/>
    <n v="9"/>
    <x v="7"/>
    <s v="Zwierzyniec"/>
    <n v="21"/>
    <n v="23"/>
    <x v="16"/>
    <x v="1"/>
    <s v="electric"/>
    <n v="2019"/>
    <s v="active"/>
  </r>
  <r>
    <n v="11"/>
    <x v="12"/>
    <s v="student"/>
    <s v="Vienna"/>
    <n v="2025"/>
    <n v="15"/>
    <n v="9"/>
    <x v="2"/>
    <d v="2025-03-22T00:00:00"/>
    <x v="2"/>
    <x v="2"/>
    <s v="Old Town"/>
    <n v="40"/>
    <n v="9"/>
    <x v="7"/>
    <s v="Zwierzyniec"/>
    <n v="21"/>
    <n v="15"/>
    <x v="17"/>
    <x v="1"/>
    <s v="electric"/>
    <n v="2019"/>
    <s v="active"/>
  </r>
  <r>
    <n v="7"/>
    <x v="13"/>
    <s v="student"/>
    <s v="Paris"/>
    <n v="2021"/>
    <n v="24"/>
    <n v="9"/>
    <x v="15"/>
    <d v="2025-03-16T00:00:00"/>
    <x v="1"/>
    <x v="1"/>
    <s v="Old Town"/>
    <n v="21"/>
    <n v="6"/>
    <x v="8"/>
    <s v="Podgorze"/>
    <n v="42"/>
    <n v="24"/>
    <x v="18"/>
    <x v="1"/>
    <s v="electric"/>
    <n v="2019"/>
    <s v="active"/>
  </r>
  <r>
    <n v="7"/>
    <x v="13"/>
    <s v="student"/>
    <s v="Paris"/>
    <n v="2021"/>
    <n v="8"/>
    <n v="10"/>
    <x v="2"/>
    <d v="2025-03-31T00:00:00"/>
    <x v="3"/>
    <x v="3"/>
    <s v="Zwierzyniec"/>
    <n v="18"/>
    <n v="3"/>
    <x v="3"/>
    <s v="Bronowice"/>
    <n v="27"/>
    <n v="8"/>
    <x v="19"/>
    <x v="2"/>
    <s v="cargo"/>
    <n v="2023"/>
    <s v="retired"/>
  </r>
  <r>
    <n v="2"/>
    <x v="6"/>
    <s v="tourist"/>
    <s v="Warsaw"/>
    <n v="2024"/>
    <n v="11"/>
    <n v="17"/>
    <x v="16"/>
    <d v="2025-03-28T00:00:00"/>
    <x v="6"/>
    <x v="6"/>
    <s v="Zwierzyniec"/>
    <n v="21"/>
    <n v="3"/>
    <x v="3"/>
    <s v="Bronowice"/>
    <n v="27"/>
    <n v="11"/>
    <x v="20"/>
    <x v="2"/>
    <s v="standard"/>
    <n v="2020"/>
    <s v="active"/>
  </r>
  <r>
    <n v="11"/>
    <x v="12"/>
    <s v="student"/>
    <s v="Vienna"/>
    <n v="2025"/>
    <n v="17"/>
    <n v="3"/>
    <x v="17"/>
    <d v="2025-03-15T00:00:00"/>
    <x v="7"/>
    <x v="7"/>
    <s v="Zwierzyniec"/>
    <n v="42"/>
    <n v="8"/>
    <x v="9"/>
    <s v="Zwierzyniec"/>
    <n v="18"/>
    <n v="17"/>
    <x v="21"/>
    <x v="0"/>
    <s v="standard"/>
    <n v="2017"/>
    <s v="active"/>
  </r>
  <r>
    <n v="10"/>
    <x v="14"/>
    <s v="student"/>
    <s v="Madrid"/>
    <n v="2023"/>
    <n v="20"/>
    <n v="6"/>
    <x v="18"/>
    <d v="2025-03-27T00:00:00"/>
    <x v="1"/>
    <x v="1"/>
    <s v="Old Town"/>
    <n v="21"/>
    <n v="6"/>
    <x v="8"/>
    <s v="Podgorze"/>
    <n v="42"/>
    <n v="20"/>
    <x v="22"/>
    <x v="0"/>
    <s v="standard"/>
    <n v="2018"/>
    <s v="active"/>
  </r>
  <r>
    <n v="30"/>
    <x v="15"/>
    <s v="tourist"/>
    <s v="Vienna"/>
    <n v="2023"/>
    <n v="19"/>
    <n v="12"/>
    <x v="19"/>
    <d v="2025-03-29T00:00:00"/>
    <x v="7"/>
    <x v="7"/>
    <s v="Zwierzyniec"/>
    <n v="42"/>
    <n v="3"/>
    <x v="3"/>
    <s v="Bronowice"/>
    <n v="27"/>
    <n v="19"/>
    <x v="23"/>
    <x v="0"/>
    <s v="electric"/>
    <n v="2022"/>
    <s v="active"/>
  </r>
  <r>
    <n v="20"/>
    <x v="5"/>
    <s v="regular"/>
    <s v="Warsaw"/>
    <n v="2020"/>
    <n v="21"/>
    <n v="17"/>
    <x v="17"/>
    <d v="2025-03-22T00:00:00"/>
    <x v="6"/>
    <x v="6"/>
    <s v="Zwierzyniec"/>
    <n v="21"/>
    <n v="5"/>
    <x v="1"/>
    <s v="Zwierzyniec"/>
    <n v="42"/>
    <n v="21"/>
    <x v="24"/>
    <x v="1"/>
    <s v="standard"/>
    <n v="2020"/>
    <s v="active"/>
  </r>
  <r>
    <n v="12"/>
    <x v="16"/>
    <s v="tourist"/>
    <s v="Prague"/>
    <n v="2024"/>
    <n v="31"/>
    <n v="18"/>
    <x v="20"/>
    <d v="2025-03-14T00:00:00"/>
    <x v="1"/>
    <x v="1"/>
    <s v="Old Town"/>
    <n v="21"/>
    <n v="2"/>
    <x v="0"/>
    <s v="Kazimierz"/>
    <n v="45"/>
    <n v="31"/>
    <x v="25"/>
    <x v="0"/>
    <s v="standard"/>
    <n v="2022"/>
    <s v="active"/>
  </r>
  <r>
    <n v="30"/>
    <x v="15"/>
    <s v="tourist"/>
    <s v="Vienna"/>
    <n v="2023"/>
    <n v="22"/>
    <n v="4"/>
    <x v="11"/>
    <d v="2025-03-09T00:00:00"/>
    <x v="6"/>
    <x v="6"/>
    <s v="Zwierzyniec"/>
    <n v="21"/>
    <n v="5"/>
    <x v="1"/>
    <s v="Zwierzyniec"/>
    <n v="42"/>
    <n v="22"/>
    <x v="26"/>
    <x v="0"/>
    <s v="electric"/>
    <n v="2017"/>
    <s v="active"/>
  </r>
  <r>
    <n v="18"/>
    <x v="17"/>
    <s v="regular"/>
    <s v="Prague"/>
    <n v="2024"/>
    <n v="27"/>
    <n v="14"/>
    <x v="21"/>
    <d v="2025-03-01T00:00:00"/>
    <x v="5"/>
    <x v="5"/>
    <s v="Bronowice"/>
    <n v="27"/>
    <n v="8"/>
    <x v="9"/>
    <s v="Zwierzyniec"/>
    <n v="18"/>
    <n v="27"/>
    <x v="27"/>
    <x v="1"/>
    <s v="standard"/>
    <n v="2018"/>
    <s v="active"/>
  </r>
  <r>
    <n v="25"/>
    <x v="18"/>
    <s v="student"/>
    <s v="Warsaw"/>
    <n v="2020"/>
    <n v="26"/>
    <n v="5"/>
    <x v="22"/>
    <d v="2025-03-09T00:00:00"/>
    <x v="4"/>
    <x v="4"/>
    <s v="Nowa Huta"/>
    <n v="45"/>
    <n v="6"/>
    <x v="8"/>
    <s v="Podgorze"/>
    <n v="42"/>
    <n v="26"/>
    <x v="28"/>
    <x v="2"/>
    <s v="electric"/>
    <n v="2021"/>
    <s v="active"/>
  </r>
  <r>
    <n v="18"/>
    <x v="17"/>
    <s v="regular"/>
    <s v="Prague"/>
    <n v="2024"/>
    <n v="28"/>
    <n v="2"/>
    <x v="12"/>
    <d v="2025-03-12T00:00:00"/>
    <x v="9"/>
    <x v="9"/>
    <s v="Kazimierz"/>
    <n v="45"/>
    <n v="3"/>
    <x v="3"/>
    <s v="Bronowice"/>
    <n v="27"/>
    <n v="28"/>
    <x v="29"/>
    <x v="0"/>
    <s v="electric"/>
    <n v="2020"/>
    <s v="active"/>
  </r>
  <r>
    <n v="29"/>
    <x v="19"/>
    <s v="regular"/>
    <s v="Paris"/>
    <n v="2020"/>
    <n v="30"/>
    <n v="2"/>
    <x v="23"/>
    <d v="2025-03-07T00:00:00"/>
    <x v="7"/>
    <x v="7"/>
    <s v="Zwierzyniec"/>
    <n v="42"/>
    <n v="6"/>
    <x v="8"/>
    <s v="Podgorze"/>
    <n v="42"/>
    <n v="30"/>
    <x v="30"/>
    <x v="0"/>
    <s v="electric"/>
    <n v="2020"/>
    <s v="active"/>
  </r>
  <r>
    <n v="30"/>
    <x v="15"/>
    <s v="tourist"/>
    <s v="Vienna"/>
    <n v="2023"/>
    <n v="32"/>
    <n v="8"/>
    <x v="20"/>
    <d v="2025-03-06T00:00:00"/>
    <x v="2"/>
    <x v="2"/>
    <s v="Old Town"/>
    <n v="40"/>
    <n v="3"/>
    <x v="3"/>
    <s v="Bronowice"/>
    <n v="27"/>
    <n v="32"/>
    <x v="31"/>
    <x v="0"/>
    <s v="cargo"/>
    <n v="2019"/>
    <s v="active"/>
  </r>
  <r>
    <n v="1"/>
    <x v="20"/>
    <s v="tourist"/>
    <s v="Vienna"/>
    <n v="2020"/>
    <n v="33"/>
    <n v="6"/>
    <x v="24"/>
    <d v="2025-03-30T00:00:00"/>
    <x v="5"/>
    <x v="5"/>
    <s v="Bronowice"/>
    <n v="27"/>
    <n v="7"/>
    <x v="5"/>
    <s v="Bronowice"/>
    <n v="44"/>
    <n v="33"/>
    <x v="32"/>
    <x v="0"/>
    <s v="standard"/>
    <n v="2018"/>
    <s v="active"/>
  </r>
  <r>
    <n v="26"/>
    <x v="21"/>
    <s v="tourist"/>
    <s v="Warsaw"/>
    <n v="2022"/>
    <n v="34"/>
    <n v="8"/>
    <x v="5"/>
    <d v="2025-03-06T00:00:00"/>
    <x v="0"/>
    <x v="0"/>
    <s v="Podgorze"/>
    <n v="42"/>
    <n v="7"/>
    <x v="5"/>
    <s v="Bronowice"/>
    <n v="44"/>
    <n v="34"/>
    <x v="33"/>
    <x v="1"/>
    <s v="cargo"/>
    <n v="2019"/>
    <s v="active"/>
  </r>
  <r>
    <n v="28"/>
    <x v="8"/>
    <s v="tourist"/>
    <s v="Vienna"/>
    <n v="2025"/>
    <n v="35"/>
    <n v="2"/>
    <x v="25"/>
    <d v="2025-03-16T00:00:00"/>
    <x v="9"/>
    <x v="9"/>
    <s v="Kazimierz"/>
    <n v="45"/>
    <n v="7"/>
    <x v="5"/>
    <s v="Bronowice"/>
    <n v="44"/>
    <n v="35"/>
    <x v="34"/>
    <x v="1"/>
    <s v="electric"/>
    <n v="2020"/>
    <s v="active"/>
  </r>
  <r>
    <n v="12"/>
    <x v="16"/>
    <s v="tourist"/>
    <s v="Prague"/>
    <n v="2024"/>
    <n v="36"/>
    <n v="10"/>
    <x v="26"/>
    <d v="2025-03-26T00:00:00"/>
    <x v="1"/>
    <x v="1"/>
    <s v="Old Town"/>
    <n v="21"/>
    <n v="8"/>
    <x v="9"/>
    <s v="Zwierzyniec"/>
    <n v="18"/>
    <n v="36"/>
    <x v="35"/>
    <x v="0"/>
    <s v="cargo"/>
    <n v="2023"/>
    <s v="retired"/>
  </r>
  <r>
    <n v="22"/>
    <x v="22"/>
    <s v="regular"/>
    <s v="Berlin"/>
    <n v="2020"/>
    <n v="37"/>
    <n v="7"/>
    <x v="27"/>
    <d v="2025-03-11T00:00:00"/>
    <x v="1"/>
    <x v="1"/>
    <s v="Old Town"/>
    <n v="21"/>
    <n v="1"/>
    <x v="4"/>
    <s v="Nowa Huta"/>
    <n v="45"/>
    <n v="37"/>
    <x v="36"/>
    <x v="1"/>
    <s v="electric"/>
    <n v="2018"/>
    <s v="retired"/>
  </r>
  <r>
    <n v="25"/>
    <x v="18"/>
    <s v="student"/>
    <s v="Warsaw"/>
    <n v="2020"/>
    <n v="38"/>
    <n v="9"/>
    <x v="23"/>
    <d v="2025-03-21T00:00:00"/>
    <x v="7"/>
    <x v="7"/>
    <s v="Zwierzyniec"/>
    <n v="42"/>
    <n v="2"/>
    <x v="0"/>
    <s v="Kazimierz"/>
    <n v="45"/>
    <n v="38"/>
    <x v="37"/>
    <x v="1"/>
    <s v="electric"/>
    <n v="2019"/>
    <s v="active"/>
  </r>
  <r>
    <n v="22"/>
    <x v="22"/>
    <s v="regular"/>
    <s v="Berlin"/>
    <n v="2020"/>
    <n v="39"/>
    <n v="18"/>
    <x v="28"/>
    <d v="2025-03-31T00:00:00"/>
    <x v="6"/>
    <x v="6"/>
    <s v="Zwierzyniec"/>
    <n v="21"/>
    <n v="7"/>
    <x v="5"/>
    <s v="Bronowice"/>
    <n v="44"/>
    <n v="39"/>
    <x v="38"/>
    <x v="0"/>
    <s v="standard"/>
    <n v="2022"/>
    <s v="active"/>
  </r>
  <r>
    <n v="29"/>
    <x v="19"/>
    <s v="regular"/>
    <s v="Paris"/>
    <n v="2020"/>
    <n v="40"/>
    <n v="9"/>
    <x v="29"/>
    <d v="2025-03-19T00:00:00"/>
    <x v="4"/>
    <x v="4"/>
    <s v="Nowa Huta"/>
    <n v="45"/>
    <n v="2"/>
    <x v="0"/>
    <s v="Kazimierz"/>
    <n v="45"/>
    <n v="40"/>
    <x v="13"/>
    <x v="0"/>
    <s v="electric"/>
    <n v="2019"/>
    <s v="active"/>
  </r>
  <r>
    <n v="4"/>
    <x v="7"/>
    <s v="student"/>
    <s v="Prague"/>
    <n v="2023"/>
    <n v="41"/>
    <n v="20"/>
    <x v="30"/>
    <d v="2025-03-12T00:00:00"/>
    <x v="7"/>
    <x v="7"/>
    <s v="Zwierzyniec"/>
    <n v="42"/>
    <n v="1"/>
    <x v="4"/>
    <s v="Nowa Huta"/>
    <n v="45"/>
    <n v="41"/>
    <x v="39"/>
    <x v="2"/>
    <s v="standard"/>
    <n v="2019"/>
    <s v="maintenance"/>
  </r>
  <r>
    <n v="20"/>
    <x v="5"/>
    <s v="regular"/>
    <s v="Warsaw"/>
    <n v="2020"/>
    <n v="42"/>
    <n v="17"/>
    <x v="31"/>
    <d v="2025-03-13T00:00:00"/>
    <x v="0"/>
    <x v="0"/>
    <s v="Podgorze"/>
    <n v="42"/>
    <n v="7"/>
    <x v="5"/>
    <s v="Bronowice"/>
    <n v="44"/>
    <n v="42"/>
    <x v="40"/>
    <x v="0"/>
    <s v="standard"/>
    <n v="2020"/>
    <s v="active"/>
  </r>
  <r>
    <n v="9"/>
    <x v="9"/>
    <s v="student"/>
    <s v="London"/>
    <n v="2025"/>
    <n v="43"/>
    <n v="2"/>
    <x v="32"/>
    <d v="2025-03-14T00:00:00"/>
    <x v="2"/>
    <x v="2"/>
    <s v="Old Town"/>
    <n v="40"/>
    <n v="4"/>
    <x v="6"/>
    <s v="Old Town"/>
    <n v="21"/>
    <n v="43"/>
    <x v="41"/>
    <x v="1"/>
    <s v="electric"/>
    <n v="2020"/>
    <s v="active"/>
  </r>
  <r>
    <n v="30"/>
    <x v="15"/>
    <s v="tourist"/>
    <s v="Vienna"/>
    <n v="2023"/>
    <n v="44"/>
    <n v="18"/>
    <x v="6"/>
    <d v="2025-03-24T00:00:00"/>
    <x v="4"/>
    <x v="4"/>
    <s v="Nowa Huta"/>
    <n v="45"/>
    <n v="9"/>
    <x v="7"/>
    <s v="Zwierzyniec"/>
    <n v="21"/>
    <n v="44"/>
    <x v="42"/>
    <x v="0"/>
    <s v="standard"/>
    <n v="2022"/>
    <s v="active"/>
  </r>
  <r>
    <n v="14"/>
    <x v="3"/>
    <s v="student"/>
    <s v="Warsaw"/>
    <n v="2022"/>
    <n v="45"/>
    <n v="3"/>
    <x v="3"/>
    <d v="2025-03-30T00:00:00"/>
    <x v="1"/>
    <x v="1"/>
    <s v="Old Town"/>
    <n v="21"/>
    <n v="6"/>
    <x v="8"/>
    <s v="Podgorze"/>
    <n v="42"/>
    <n v="45"/>
    <x v="43"/>
    <x v="1"/>
    <s v="standard"/>
    <n v="2017"/>
    <s v="active"/>
  </r>
  <r>
    <n v="11"/>
    <x v="12"/>
    <s v="student"/>
    <s v="Vienna"/>
    <n v="2025"/>
    <n v="46"/>
    <n v="4"/>
    <x v="33"/>
    <d v="2025-03-29T00:00:00"/>
    <x v="0"/>
    <x v="0"/>
    <s v="Podgorze"/>
    <n v="42"/>
    <n v="10"/>
    <x v="2"/>
    <s v="Old Town"/>
    <n v="40"/>
    <n v="46"/>
    <x v="44"/>
    <x v="0"/>
    <s v="electric"/>
    <n v="2017"/>
    <s v="active"/>
  </r>
  <r>
    <n v="10"/>
    <x v="14"/>
    <s v="student"/>
    <s v="Madrid"/>
    <n v="2023"/>
    <n v="47"/>
    <n v="14"/>
    <x v="34"/>
    <d v="2025-03-13T00:00:00"/>
    <x v="7"/>
    <x v="7"/>
    <s v="Zwierzyniec"/>
    <n v="42"/>
    <n v="9"/>
    <x v="7"/>
    <s v="Zwierzyniec"/>
    <n v="21"/>
    <n v="47"/>
    <x v="45"/>
    <x v="0"/>
    <s v="standard"/>
    <n v="2018"/>
    <s v="active"/>
  </r>
  <r>
    <n v="5"/>
    <x v="10"/>
    <s v="tourist"/>
    <s v="Prague"/>
    <n v="2024"/>
    <n v="48"/>
    <n v="7"/>
    <x v="7"/>
    <d v="2025-03-22T00:00:00"/>
    <x v="7"/>
    <x v="7"/>
    <s v="Zwierzyniec"/>
    <n v="42"/>
    <n v="9"/>
    <x v="7"/>
    <s v="Zwierzyniec"/>
    <n v="21"/>
    <n v="48"/>
    <x v="46"/>
    <x v="0"/>
    <s v="electric"/>
    <n v="2018"/>
    <s v="retired"/>
  </r>
  <r>
    <n v="20"/>
    <x v="5"/>
    <s v="regular"/>
    <s v="Warsaw"/>
    <n v="2020"/>
    <n v="49"/>
    <n v="19"/>
    <x v="35"/>
    <d v="2025-03-13T00:00:00"/>
    <x v="8"/>
    <x v="8"/>
    <s v="Bronowice"/>
    <n v="44"/>
    <n v="3"/>
    <x v="3"/>
    <s v="Bronowice"/>
    <n v="27"/>
    <n v="49"/>
    <x v="47"/>
    <x v="0"/>
    <s v="standard"/>
    <n v="2021"/>
    <s v="active"/>
  </r>
  <r>
    <n v="10"/>
    <x v="14"/>
    <s v="student"/>
    <s v="Madrid"/>
    <n v="2023"/>
    <n v="50"/>
    <n v="10"/>
    <x v="2"/>
    <d v="2025-03-14T00:00:00"/>
    <x v="6"/>
    <x v="6"/>
    <s v="Zwierzyniec"/>
    <n v="21"/>
    <n v="1"/>
    <x v="4"/>
    <s v="Nowa Huta"/>
    <n v="45"/>
    <n v="50"/>
    <x v="48"/>
    <x v="1"/>
    <s v="cargo"/>
    <n v="2023"/>
    <s v="retired"/>
  </r>
  <r>
    <n v="15"/>
    <x v="1"/>
    <s v="tourist"/>
    <s v="London"/>
    <n v="2020"/>
    <n v="51"/>
    <n v="15"/>
    <x v="18"/>
    <d v="2025-03-22T00:00:00"/>
    <x v="2"/>
    <x v="2"/>
    <s v="Old Town"/>
    <n v="40"/>
    <n v="6"/>
    <x v="8"/>
    <s v="Podgorze"/>
    <n v="42"/>
    <n v="51"/>
    <x v="49"/>
    <x v="2"/>
    <s v="cargo"/>
    <n v="2020"/>
    <s v="active"/>
  </r>
  <r>
    <n v="16"/>
    <x v="23"/>
    <s v="student"/>
    <s v="Vienna"/>
    <n v="2024"/>
    <n v="52"/>
    <n v="6"/>
    <x v="3"/>
    <d v="2025-03-03T00:00:00"/>
    <x v="1"/>
    <x v="1"/>
    <s v="Old Town"/>
    <n v="21"/>
    <n v="9"/>
    <x v="7"/>
    <s v="Zwierzyniec"/>
    <n v="21"/>
    <n v="52"/>
    <x v="7"/>
    <x v="1"/>
    <s v="standard"/>
    <n v="2018"/>
    <s v="active"/>
  </r>
  <r>
    <n v="22"/>
    <x v="22"/>
    <s v="regular"/>
    <s v="Berlin"/>
    <n v="2020"/>
    <n v="53"/>
    <n v="20"/>
    <x v="28"/>
    <d v="2025-03-03T00:00:00"/>
    <x v="7"/>
    <x v="7"/>
    <s v="Zwierzyniec"/>
    <n v="42"/>
    <n v="9"/>
    <x v="7"/>
    <s v="Zwierzyniec"/>
    <n v="21"/>
    <n v="53"/>
    <x v="50"/>
    <x v="2"/>
    <s v="standard"/>
    <n v="2019"/>
    <s v="maintenance"/>
  </r>
  <r>
    <n v="8"/>
    <x v="0"/>
    <s v="student"/>
    <s v="London"/>
    <n v="2019"/>
    <n v="54"/>
    <n v="7"/>
    <x v="36"/>
    <d v="2025-03-01T00:00:00"/>
    <x v="1"/>
    <x v="1"/>
    <s v="Old Town"/>
    <n v="21"/>
    <n v="5"/>
    <x v="1"/>
    <s v="Zwierzyniec"/>
    <n v="42"/>
    <n v="54"/>
    <x v="51"/>
    <x v="0"/>
    <s v="electric"/>
    <n v="2018"/>
    <s v="retired"/>
  </r>
  <r>
    <n v="16"/>
    <x v="23"/>
    <s v="student"/>
    <s v="Vienna"/>
    <n v="2024"/>
    <n v="55"/>
    <n v="20"/>
    <x v="25"/>
    <d v="2025-03-25T00:00:00"/>
    <x v="4"/>
    <x v="4"/>
    <s v="Nowa Huta"/>
    <n v="45"/>
    <n v="4"/>
    <x v="6"/>
    <s v="Old Town"/>
    <n v="21"/>
    <n v="55"/>
    <x v="52"/>
    <x v="0"/>
    <s v="standard"/>
    <n v="2019"/>
    <s v="maintenance"/>
  </r>
  <r>
    <n v="14"/>
    <x v="3"/>
    <s v="student"/>
    <s v="Warsaw"/>
    <n v="2022"/>
    <n v="56"/>
    <n v="19"/>
    <x v="0"/>
    <d v="2025-03-23T00:00:00"/>
    <x v="9"/>
    <x v="9"/>
    <s v="Kazimierz"/>
    <n v="45"/>
    <n v="8"/>
    <x v="9"/>
    <s v="Zwierzyniec"/>
    <n v="18"/>
    <n v="56"/>
    <x v="53"/>
    <x v="0"/>
    <s v="standard"/>
    <n v="2021"/>
    <s v="active"/>
  </r>
  <r>
    <n v="13"/>
    <x v="11"/>
    <s v="tourist"/>
    <s v="Prague"/>
    <n v="2025"/>
    <n v="57"/>
    <n v="8"/>
    <x v="36"/>
    <d v="2025-03-21T00:00:00"/>
    <x v="8"/>
    <x v="8"/>
    <s v="Bronowice"/>
    <n v="44"/>
    <n v="8"/>
    <x v="9"/>
    <s v="Zwierzyniec"/>
    <n v="18"/>
    <n v="57"/>
    <x v="54"/>
    <x v="1"/>
    <s v="cargo"/>
    <n v="2019"/>
    <s v="active"/>
  </r>
  <r>
    <n v="25"/>
    <x v="18"/>
    <s v="student"/>
    <s v="Warsaw"/>
    <n v="2020"/>
    <n v="58"/>
    <n v="14"/>
    <x v="37"/>
    <d v="2025-03-06T00:00:00"/>
    <x v="4"/>
    <x v="4"/>
    <s v="Nowa Huta"/>
    <n v="45"/>
    <n v="2"/>
    <x v="0"/>
    <s v="Kazimierz"/>
    <n v="45"/>
    <n v="58"/>
    <x v="55"/>
    <x v="0"/>
    <s v="standard"/>
    <n v="2018"/>
    <s v="active"/>
  </r>
  <r>
    <n v="2"/>
    <x v="6"/>
    <s v="tourist"/>
    <s v="Warsaw"/>
    <n v="2024"/>
    <n v="59"/>
    <n v="18"/>
    <x v="9"/>
    <d v="2025-03-30T00:00:00"/>
    <x v="6"/>
    <x v="6"/>
    <s v="Zwierzyniec"/>
    <n v="21"/>
    <n v="8"/>
    <x v="9"/>
    <s v="Zwierzyniec"/>
    <n v="18"/>
    <n v="59"/>
    <x v="56"/>
    <x v="1"/>
    <s v="standard"/>
    <n v="2022"/>
    <s v="active"/>
  </r>
  <r>
    <n v="5"/>
    <x v="10"/>
    <s v="tourist"/>
    <s v="Prague"/>
    <n v="2024"/>
    <n v="60"/>
    <n v="15"/>
    <x v="3"/>
    <d v="2025-03-17T00:00:00"/>
    <x v="9"/>
    <x v="9"/>
    <s v="Kazimierz"/>
    <n v="45"/>
    <n v="8"/>
    <x v="9"/>
    <s v="Zwierzyniec"/>
    <n v="18"/>
    <n v="60"/>
    <x v="57"/>
    <x v="1"/>
    <s v="cargo"/>
    <n v="2020"/>
    <s v="active"/>
  </r>
  <r>
    <n v="11"/>
    <x v="12"/>
    <s v="student"/>
    <s v="Vienna"/>
    <n v="2025"/>
    <n v="61"/>
    <n v="15"/>
    <x v="38"/>
    <d v="2025-03-27T00:00:00"/>
    <x v="6"/>
    <x v="6"/>
    <s v="Zwierzyniec"/>
    <n v="21"/>
    <n v="10"/>
    <x v="2"/>
    <s v="Old Town"/>
    <n v="40"/>
    <n v="61"/>
    <x v="58"/>
    <x v="0"/>
    <s v="cargo"/>
    <n v="2020"/>
    <s v="active"/>
  </r>
  <r>
    <n v="27"/>
    <x v="24"/>
    <s v="tourist"/>
    <s v="Vienna"/>
    <n v="2023"/>
    <n v="62"/>
    <n v="18"/>
    <x v="18"/>
    <d v="2025-03-29T00:00:00"/>
    <x v="6"/>
    <x v="6"/>
    <s v="Zwierzyniec"/>
    <n v="21"/>
    <n v="7"/>
    <x v="5"/>
    <s v="Bronowice"/>
    <n v="44"/>
    <n v="62"/>
    <x v="59"/>
    <x v="2"/>
    <s v="standard"/>
    <n v="2022"/>
    <s v="active"/>
  </r>
  <r>
    <n v="15"/>
    <x v="1"/>
    <s v="tourist"/>
    <s v="London"/>
    <n v="2020"/>
    <n v="63"/>
    <n v="9"/>
    <x v="39"/>
    <d v="2025-03-08T00:00:00"/>
    <x v="5"/>
    <x v="5"/>
    <s v="Bronowice"/>
    <n v="27"/>
    <n v="8"/>
    <x v="9"/>
    <s v="Zwierzyniec"/>
    <n v="18"/>
    <n v="63"/>
    <x v="60"/>
    <x v="0"/>
    <s v="electric"/>
    <n v="2019"/>
    <s v="active"/>
  </r>
  <r>
    <n v="16"/>
    <x v="23"/>
    <s v="student"/>
    <s v="Vienna"/>
    <n v="2024"/>
    <n v="64"/>
    <n v="8"/>
    <x v="5"/>
    <d v="2025-03-15T00:00:00"/>
    <x v="7"/>
    <x v="7"/>
    <s v="Zwierzyniec"/>
    <n v="42"/>
    <n v="9"/>
    <x v="7"/>
    <s v="Zwierzyniec"/>
    <n v="21"/>
    <n v="64"/>
    <x v="61"/>
    <x v="1"/>
    <s v="cargo"/>
    <n v="2019"/>
    <s v="active"/>
  </r>
  <r>
    <n v="8"/>
    <x v="0"/>
    <s v="student"/>
    <s v="London"/>
    <n v="2019"/>
    <n v="65"/>
    <n v="9"/>
    <x v="28"/>
    <d v="2025-03-11T00:00:00"/>
    <x v="9"/>
    <x v="9"/>
    <s v="Kazimierz"/>
    <n v="45"/>
    <n v="5"/>
    <x v="1"/>
    <s v="Zwierzyniec"/>
    <n v="42"/>
    <n v="65"/>
    <x v="62"/>
    <x v="0"/>
    <s v="electric"/>
    <n v="2019"/>
    <s v="active"/>
  </r>
  <r>
    <n v="5"/>
    <x v="10"/>
    <s v="tourist"/>
    <s v="Prague"/>
    <n v="2024"/>
    <n v="66"/>
    <n v="5"/>
    <x v="37"/>
    <d v="2025-03-13T00:00:00"/>
    <x v="6"/>
    <x v="6"/>
    <s v="Zwierzyniec"/>
    <n v="21"/>
    <n v="2"/>
    <x v="0"/>
    <s v="Kazimierz"/>
    <n v="45"/>
    <n v="66"/>
    <x v="63"/>
    <x v="0"/>
    <s v="electric"/>
    <n v="2021"/>
    <s v="active"/>
  </r>
  <r>
    <n v="3"/>
    <x v="2"/>
    <s v="tourist"/>
    <s v="Paris"/>
    <n v="2019"/>
    <n v="67"/>
    <n v="14"/>
    <x v="7"/>
    <d v="2025-03-11T00:00:00"/>
    <x v="5"/>
    <x v="5"/>
    <s v="Bronowice"/>
    <n v="27"/>
    <n v="4"/>
    <x v="6"/>
    <s v="Old Town"/>
    <n v="21"/>
    <n v="67"/>
    <x v="64"/>
    <x v="2"/>
    <s v="standard"/>
    <n v="2018"/>
    <s v="active"/>
  </r>
  <r>
    <n v="14"/>
    <x v="3"/>
    <s v="student"/>
    <s v="Warsaw"/>
    <n v="2022"/>
    <n v="68"/>
    <n v="2"/>
    <x v="2"/>
    <d v="2025-03-27T00:00:00"/>
    <x v="6"/>
    <x v="6"/>
    <s v="Zwierzyniec"/>
    <n v="21"/>
    <n v="8"/>
    <x v="9"/>
    <s v="Zwierzyniec"/>
    <n v="18"/>
    <n v="68"/>
    <x v="65"/>
    <x v="2"/>
    <s v="electric"/>
    <n v="2020"/>
    <s v="active"/>
  </r>
  <r>
    <n v="23"/>
    <x v="25"/>
    <s v="tourist"/>
    <s v="Paris"/>
    <n v="2023"/>
    <n v="69"/>
    <n v="1"/>
    <x v="25"/>
    <d v="2025-03-29T00:00:00"/>
    <x v="8"/>
    <x v="8"/>
    <s v="Bronowice"/>
    <n v="44"/>
    <n v="10"/>
    <x v="2"/>
    <s v="Old Town"/>
    <n v="40"/>
    <n v="69"/>
    <x v="66"/>
    <x v="1"/>
    <s v="standard"/>
    <n v="2018"/>
    <s v="maintenance"/>
  </r>
  <r>
    <n v="16"/>
    <x v="23"/>
    <s v="student"/>
    <s v="Vienna"/>
    <n v="2024"/>
    <n v="70"/>
    <n v="1"/>
    <x v="23"/>
    <d v="2025-03-10T00:00:00"/>
    <x v="2"/>
    <x v="2"/>
    <s v="Old Town"/>
    <n v="40"/>
    <n v="7"/>
    <x v="5"/>
    <s v="Bronowice"/>
    <n v="44"/>
    <n v="70"/>
    <x v="67"/>
    <x v="0"/>
    <s v="standard"/>
    <n v="2018"/>
    <s v="maintenance"/>
  </r>
  <r>
    <n v="24"/>
    <x v="4"/>
    <s v="student"/>
    <s v="Berlin"/>
    <n v="2023"/>
    <n v="71"/>
    <n v="18"/>
    <x v="40"/>
    <d v="2025-03-20T00:00:00"/>
    <x v="8"/>
    <x v="8"/>
    <s v="Bronowice"/>
    <n v="44"/>
    <n v="9"/>
    <x v="7"/>
    <s v="Zwierzyniec"/>
    <n v="21"/>
    <n v="71"/>
    <x v="68"/>
    <x v="1"/>
    <s v="standard"/>
    <n v="2022"/>
    <s v="active"/>
  </r>
  <r>
    <n v="8"/>
    <x v="0"/>
    <s v="student"/>
    <s v="London"/>
    <n v="2019"/>
    <n v="72"/>
    <n v="9"/>
    <x v="30"/>
    <d v="2025-03-16T00:00:00"/>
    <x v="1"/>
    <x v="1"/>
    <s v="Old Town"/>
    <n v="21"/>
    <n v="8"/>
    <x v="9"/>
    <s v="Zwierzyniec"/>
    <n v="18"/>
    <n v="72"/>
    <x v="69"/>
    <x v="1"/>
    <s v="electric"/>
    <n v="2019"/>
    <s v="active"/>
  </r>
  <r>
    <n v="11"/>
    <x v="12"/>
    <s v="student"/>
    <s v="Vienna"/>
    <n v="2025"/>
    <n v="73"/>
    <n v="13"/>
    <x v="33"/>
    <d v="2025-03-06T00:00:00"/>
    <x v="4"/>
    <x v="4"/>
    <s v="Nowa Huta"/>
    <n v="45"/>
    <n v="7"/>
    <x v="5"/>
    <s v="Bronowice"/>
    <n v="44"/>
    <n v="73"/>
    <x v="22"/>
    <x v="0"/>
    <s v="cargo"/>
    <n v="2024"/>
    <s v="active"/>
  </r>
  <r>
    <n v="20"/>
    <x v="5"/>
    <s v="regular"/>
    <s v="Warsaw"/>
    <n v="2020"/>
    <n v="74"/>
    <n v="18"/>
    <x v="41"/>
    <d v="2025-03-30T00:00:00"/>
    <x v="3"/>
    <x v="3"/>
    <s v="Zwierzyniec"/>
    <n v="18"/>
    <n v="3"/>
    <x v="3"/>
    <s v="Bronowice"/>
    <n v="27"/>
    <n v="74"/>
    <x v="9"/>
    <x v="0"/>
    <s v="standard"/>
    <n v="2022"/>
    <s v="active"/>
  </r>
  <r>
    <n v="19"/>
    <x v="26"/>
    <s v="student"/>
    <s v="Krakow"/>
    <n v="2025"/>
    <n v="75"/>
    <n v="1"/>
    <x v="16"/>
    <d v="2025-03-21T00:00:00"/>
    <x v="8"/>
    <x v="8"/>
    <s v="Bronowice"/>
    <n v="44"/>
    <n v="10"/>
    <x v="2"/>
    <s v="Old Town"/>
    <n v="40"/>
    <n v="75"/>
    <x v="28"/>
    <x v="0"/>
    <s v="standard"/>
    <n v="2018"/>
    <s v="maintenance"/>
  </r>
  <r>
    <n v="28"/>
    <x v="8"/>
    <s v="tourist"/>
    <s v="Vienna"/>
    <n v="2025"/>
    <n v="76"/>
    <n v="15"/>
    <x v="29"/>
    <d v="2025-03-02T00:00:00"/>
    <x v="8"/>
    <x v="8"/>
    <s v="Bronowice"/>
    <n v="44"/>
    <n v="3"/>
    <x v="3"/>
    <s v="Bronowice"/>
    <n v="27"/>
    <n v="76"/>
    <x v="70"/>
    <x v="0"/>
    <s v="cargo"/>
    <n v="2020"/>
    <s v="active"/>
  </r>
  <r>
    <n v="11"/>
    <x v="12"/>
    <s v="student"/>
    <s v="Vienna"/>
    <n v="2025"/>
    <n v="77"/>
    <n v="7"/>
    <x v="42"/>
    <d v="2025-03-11T00:00:00"/>
    <x v="7"/>
    <x v="7"/>
    <s v="Zwierzyniec"/>
    <n v="42"/>
    <n v="7"/>
    <x v="5"/>
    <s v="Bronowice"/>
    <n v="44"/>
    <n v="77"/>
    <x v="71"/>
    <x v="1"/>
    <s v="electric"/>
    <n v="2018"/>
    <s v="retired"/>
  </r>
  <r>
    <n v="9"/>
    <x v="9"/>
    <s v="student"/>
    <s v="London"/>
    <n v="2025"/>
    <n v="78"/>
    <n v="14"/>
    <x v="43"/>
    <d v="2025-03-27T00:00:00"/>
    <x v="0"/>
    <x v="0"/>
    <s v="Podgorze"/>
    <n v="42"/>
    <n v="7"/>
    <x v="5"/>
    <s v="Bronowice"/>
    <n v="44"/>
    <n v="78"/>
    <x v="72"/>
    <x v="0"/>
    <s v="standard"/>
    <n v="2018"/>
    <s v="active"/>
  </r>
  <r>
    <n v="1"/>
    <x v="20"/>
    <s v="tourist"/>
    <s v="Vienna"/>
    <n v="2020"/>
    <n v="79"/>
    <n v="18"/>
    <x v="4"/>
    <d v="2025-03-31T00:00:00"/>
    <x v="9"/>
    <x v="9"/>
    <s v="Kazimierz"/>
    <n v="45"/>
    <n v="8"/>
    <x v="9"/>
    <s v="Zwierzyniec"/>
    <n v="18"/>
    <n v="79"/>
    <x v="73"/>
    <x v="0"/>
    <s v="standard"/>
    <n v="2022"/>
    <s v="active"/>
  </r>
  <r>
    <n v="21"/>
    <x v="27"/>
    <s v="student"/>
    <s v="Madrid"/>
    <n v="2022"/>
    <n v="80"/>
    <n v="3"/>
    <x v="44"/>
    <d v="2025-03-31T00:00:00"/>
    <x v="0"/>
    <x v="0"/>
    <s v="Podgorze"/>
    <n v="42"/>
    <n v="4"/>
    <x v="6"/>
    <s v="Old Town"/>
    <n v="21"/>
    <n v="80"/>
    <x v="22"/>
    <x v="0"/>
    <s v="standard"/>
    <n v="2017"/>
    <s v="active"/>
  </r>
  <r>
    <n v="7"/>
    <x v="13"/>
    <s v="student"/>
    <s v="Paris"/>
    <n v="2021"/>
    <n v="81"/>
    <n v="1"/>
    <x v="38"/>
    <d v="2025-03-05T00:00:00"/>
    <x v="4"/>
    <x v="4"/>
    <s v="Nowa Huta"/>
    <n v="45"/>
    <n v="4"/>
    <x v="6"/>
    <s v="Old Town"/>
    <n v="21"/>
    <n v="81"/>
    <x v="74"/>
    <x v="2"/>
    <s v="standard"/>
    <n v="2018"/>
    <s v="maintenance"/>
  </r>
  <r>
    <n v="16"/>
    <x v="23"/>
    <s v="student"/>
    <s v="Vienna"/>
    <n v="2024"/>
    <n v="82"/>
    <n v="4"/>
    <x v="45"/>
    <d v="2025-03-31T00:00:00"/>
    <x v="1"/>
    <x v="1"/>
    <s v="Old Town"/>
    <n v="21"/>
    <n v="3"/>
    <x v="3"/>
    <s v="Bronowice"/>
    <n v="27"/>
    <n v="82"/>
    <x v="75"/>
    <x v="1"/>
    <s v="electric"/>
    <n v="2017"/>
    <s v="active"/>
  </r>
  <r>
    <n v="23"/>
    <x v="25"/>
    <s v="tourist"/>
    <s v="Paris"/>
    <n v="2023"/>
    <n v="83"/>
    <n v="9"/>
    <x v="44"/>
    <d v="2025-03-12T00:00:00"/>
    <x v="1"/>
    <x v="1"/>
    <s v="Old Town"/>
    <n v="21"/>
    <n v="8"/>
    <x v="9"/>
    <s v="Zwierzyniec"/>
    <n v="18"/>
    <n v="83"/>
    <x v="76"/>
    <x v="1"/>
    <s v="electric"/>
    <n v="2019"/>
    <s v="active"/>
  </r>
  <r>
    <n v="20"/>
    <x v="5"/>
    <s v="regular"/>
    <s v="Warsaw"/>
    <n v="2020"/>
    <n v="84"/>
    <n v="4"/>
    <x v="44"/>
    <d v="2025-03-27T00:00:00"/>
    <x v="5"/>
    <x v="5"/>
    <s v="Bronowice"/>
    <n v="27"/>
    <n v="10"/>
    <x v="2"/>
    <s v="Old Town"/>
    <n v="40"/>
    <n v="84"/>
    <x v="77"/>
    <x v="1"/>
    <s v="electric"/>
    <n v="2017"/>
    <s v="active"/>
  </r>
  <r>
    <n v="4"/>
    <x v="7"/>
    <s v="student"/>
    <s v="Prague"/>
    <n v="2023"/>
    <n v="85"/>
    <n v="19"/>
    <x v="41"/>
    <d v="2025-03-30T00:00:00"/>
    <x v="5"/>
    <x v="5"/>
    <s v="Bronowice"/>
    <n v="27"/>
    <n v="5"/>
    <x v="1"/>
    <s v="Zwierzyniec"/>
    <n v="42"/>
    <n v="85"/>
    <x v="78"/>
    <x v="0"/>
    <s v="standard"/>
    <n v="2021"/>
    <s v="active"/>
  </r>
  <r>
    <n v="22"/>
    <x v="22"/>
    <s v="regular"/>
    <s v="Berlin"/>
    <n v="2020"/>
    <n v="86"/>
    <n v="13"/>
    <x v="27"/>
    <d v="2025-03-31T00:00:00"/>
    <x v="7"/>
    <x v="7"/>
    <s v="Zwierzyniec"/>
    <n v="42"/>
    <n v="10"/>
    <x v="2"/>
    <s v="Old Town"/>
    <n v="40"/>
    <n v="86"/>
    <x v="79"/>
    <x v="0"/>
    <s v="cargo"/>
    <n v="2024"/>
    <s v="active"/>
  </r>
  <r>
    <n v="19"/>
    <x v="26"/>
    <s v="student"/>
    <s v="Krakow"/>
    <n v="2025"/>
    <n v="87"/>
    <n v="8"/>
    <x v="1"/>
    <d v="2025-03-23T00:00:00"/>
    <x v="1"/>
    <x v="1"/>
    <s v="Old Town"/>
    <n v="21"/>
    <n v="2"/>
    <x v="0"/>
    <s v="Kazimierz"/>
    <n v="45"/>
    <n v="87"/>
    <x v="80"/>
    <x v="0"/>
    <s v="cargo"/>
    <n v="2019"/>
    <s v="active"/>
  </r>
  <r>
    <n v="26"/>
    <x v="21"/>
    <s v="tourist"/>
    <s v="Warsaw"/>
    <n v="2022"/>
    <n v="88"/>
    <n v="4"/>
    <x v="13"/>
    <d v="2025-03-19T00:00:00"/>
    <x v="7"/>
    <x v="7"/>
    <s v="Zwierzyniec"/>
    <n v="42"/>
    <n v="10"/>
    <x v="2"/>
    <s v="Old Town"/>
    <n v="40"/>
    <n v="88"/>
    <x v="18"/>
    <x v="0"/>
    <s v="electric"/>
    <n v="2017"/>
    <s v="active"/>
  </r>
  <r>
    <n v="18"/>
    <x v="17"/>
    <s v="regular"/>
    <s v="Prague"/>
    <n v="2024"/>
    <n v="89"/>
    <n v="14"/>
    <x v="3"/>
    <d v="2025-03-12T00:00:00"/>
    <x v="4"/>
    <x v="4"/>
    <s v="Nowa Huta"/>
    <n v="45"/>
    <n v="6"/>
    <x v="8"/>
    <s v="Podgorze"/>
    <n v="42"/>
    <n v="89"/>
    <x v="81"/>
    <x v="0"/>
    <s v="standard"/>
    <n v="2018"/>
    <s v="active"/>
  </r>
  <r>
    <n v="21"/>
    <x v="27"/>
    <s v="student"/>
    <s v="Madrid"/>
    <n v="2022"/>
    <n v="90"/>
    <n v="11"/>
    <x v="17"/>
    <d v="2025-03-28T00:00:00"/>
    <x v="9"/>
    <x v="9"/>
    <s v="Kazimierz"/>
    <n v="45"/>
    <n v="9"/>
    <x v="7"/>
    <s v="Zwierzyniec"/>
    <n v="21"/>
    <n v="90"/>
    <x v="82"/>
    <x v="1"/>
    <s v="cargo"/>
    <n v="2020"/>
    <s v="maintenance"/>
  </r>
  <r>
    <n v="4"/>
    <x v="7"/>
    <s v="student"/>
    <s v="Prague"/>
    <n v="2023"/>
    <n v="91"/>
    <n v="14"/>
    <x v="46"/>
    <d v="2025-03-21T00:00:00"/>
    <x v="8"/>
    <x v="8"/>
    <s v="Bronowice"/>
    <n v="44"/>
    <n v="8"/>
    <x v="9"/>
    <s v="Zwierzyniec"/>
    <n v="18"/>
    <n v="91"/>
    <x v="83"/>
    <x v="0"/>
    <s v="standard"/>
    <n v="2018"/>
    <s v="active"/>
  </r>
  <r>
    <n v="14"/>
    <x v="3"/>
    <s v="student"/>
    <s v="Warsaw"/>
    <n v="2022"/>
    <n v="92"/>
    <n v="6"/>
    <x v="33"/>
    <d v="2025-03-17T00:00:00"/>
    <x v="3"/>
    <x v="3"/>
    <s v="Zwierzyniec"/>
    <n v="18"/>
    <n v="3"/>
    <x v="3"/>
    <s v="Bronowice"/>
    <n v="27"/>
    <n v="92"/>
    <x v="84"/>
    <x v="1"/>
    <s v="standard"/>
    <n v="2018"/>
    <s v="active"/>
  </r>
  <r>
    <n v="26"/>
    <x v="21"/>
    <s v="tourist"/>
    <s v="Warsaw"/>
    <n v="2022"/>
    <n v="93"/>
    <n v="18"/>
    <x v="44"/>
    <d v="2025-03-16T00:00:00"/>
    <x v="7"/>
    <x v="7"/>
    <s v="Zwierzyniec"/>
    <n v="42"/>
    <n v="10"/>
    <x v="2"/>
    <s v="Old Town"/>
    <n v="40"/>
    <n v="93"/>
    <x v="85"/>
    <x v="1"/>
    <s v="standard"/>
    <n v="2022"/>
    <s v="active"/>
  </r>
  <r>
    <n v="27"/>
    <x v="24"/>
    <s v="tourist"/>
    <s v="Vienna"/>
    <n v="2023"/>
    <n v="94"/>
    <n v="19"/>
    <x v="5"/>
    <d v="2025-03-11T00:00:00"/>
    <x v="3"/>
    <x v="3"/>
    <s v="Zwierzyniec"/>
    <n v="18"/>
    <n v="7"/>
    <x v="5"/>
    <s v="Bronowice"/>
    <n v="44"/>
    <n v="94"/>
    <x v="86"/>
    <x v="2"/>
    <s v="standard"/>
    <n v="2021"/>
    <s v="active"/>
  </r>
  <r>
    <n v="9"/>
    <x v="9"/>
    <s v="student"/>
    <s v="London"/>
    <n v="2025"/>
    <n v="95"/>
    <n v="15"/>
    <x v="9"/>
    <d v="2025-03-25T00:00:00"/>
    <x v="1"/>
    <x v="1"/>
    <s v="Old Town"/>
    <n v="21"/>
    <n v="2"/>
    <x v="0"/>
    <s v="Kazimierz"/>
    <n v="45"/>
    <n v="95"/>
    <x v="87"/>
    <x v="1"/>
    <s v="cargo"/>
    <n v="2020"/>
    <s v="active"/>
  </r>
  <r>
    <n v="20"/>
    <x v="5"/>
    <s v="regular"/>
    <s v="Warsaw"/>
    <n v="2020"/>
    <n v="96"/>
    <n v="13"/>
    <x v="28"/>
    <d v="2025-03-01T00:00:00"/>
    <x v="3"/>
    <x v="3"/>
    <s v="Zwierzyniec"/>
    <n v="18"/>
    <n v="10"/>
    <x v="2"/>
    <s v="Old Town"/>
    <n v="40"/>
    <n v="96"/>
    <x v="88"/>
    <x v="0"/>
    <s v="cargo"/>
    <n v="2024"/>
    <s v="active"/>
  </r>
  <r>
    <n v="6"/>
    <x v="28"/>
    <s v="student"/>
    <s v="Madrid"/>
    <n v="2023"/>
    <n v="97"/>
    <n v="16"/>
    <x v="2"/>
    <d v="2025-03-12T00:00:00"/>
    <x v="3"/>
    <x v="3"/>
    <s v="Zwierzyniec"/>
    <n v="18"/>
    <n v="6"/>
    <x v="8"/>
    <s v="Podgorze"/>
    <n v="42"/>
    <n v="97"/>
    <x v="89"/>
    <x v="0"/>
    <s v="standard"/>
    <n v="2018"/>
    <s v="maintenance"/>
  </r>
  <r>
    <n v="9"/>
    <x v="9"/>
    <s v="student"/>
    <s v="London"/>
    <n v="2025"/>
    <n v="98"/>
    <n v="20"/>
    <x v="47"/>
    <d v="2025-03-29T00:00:00"/>
    <x v="7"/>
    <x v="7"/>
    <s v="Zwierzyniec"/>
    <n v="42"/>
    <n v="6"/>
    <x v="8"/>
    <s v="Podgorze"/>
    <n v="42"/>
    <n v="98"/>
    <x v="10"/>
    <x v="0"/>
    <s v="standard"/>
    <n v="2019"/>
    <s v="maintenance"/>
  </r>
  <r>
    <n v="1"/>
    <x v="20"/>
    <s v="tourist"/>
    <s v="Vienna"/>
    <n v="2020"/>
    <n v="99"/>
    <n v="17"/>
    <x v="0"/>
    <d v="2025-03-03T00:00:00"/>
    <x v="7"/>
    <x v="7"/>
    <s v="Zwierzyniec"/>
    <n v="42"/>
    <n v="9"/>
    <x v="7"/>
    <s v="Zwierzyniec"/>
    <n v="21"/>
    <n v="99"/>
    <x v="90"/>
    <x v="1"/>
    <s v="standard"/>
    <n v="2020"/>
    <s v="active"/>
  </r>
  <r>
    <n v="16"/>
    <x v="23"/>
    <s v="student"/>
    <s v="Vienna"/>
    <n v="2024"/>
    <n v="100"/>
    <n v="18"/>
    <x v="39"/>
    <d v="2025-03-08T00:00:00"/>
    <x v="1"/>
    <x v="1"/>
    <s v="Old Town"/>
    <n v="21"/>
    <n v="7"/>
    <x v="5"/>
    <s v="Bronowice"/>
    <n v="44"/>
    <n v="100"/>
    <x v="91"/>
    <x v="0"/>
    <s v="standard"/>
    <n v="2022"/>
    <s v="active"/>
  </r>
  <r>
    <n v="3"/>
    <x v="2"/>
    <s v="tourist"/>
    <s v="Paris"/>
    <n v="2019"/>
    <n v="101"/>
    <n v="10"/>
    <x v="37"/>
    <d v="2025-03-13T00:00:00"/>
    <x v="3"/>
    <x v="3"/>
    <s v="Zwierzyniec"/>
    <n v="18"/>
    <n v="1"/>
    <x v="4"/>
    <s v="Nowa Huta"/>
    <n v="45"/>
    <n v="101"/>
    <x v="92"/>
    <x v="2"/>
    <s v="cargo"/>
    <n v="2023"/>
    <s v="retired"/>
  </r>
  <r>
    <n v="22"/>
    <x v="22"/>
    <s v="regular"/>
    <s v="Berlin"/>
    <n v="2020"/>
    <n v="102"/>
    <n v="19"/>
    <x v="46"/>
    <d v="2025-03-16T00:00:00"/>
    <x v="1"/>
    <x v="1"/>
    <s v="Old Town"/>
    <n v="21"/>
    <n v="5"/>
    <x v="1"/>
    <s v="Zwierzyniec"/>
    <n v="42"/>
    <n v="102"/>
    <x v="93"/>
    <x v="0"/>
    <s v="standard"/>
    <n v="2021"/>
    <s v="active"/>
  </r>
  <r>
    <n v="14"/>
    <x v="3"/>
    <s v="student"/>
    <s v="Warsaw"/>
    <n v="2022"/>
    <n v="103"/>
    <n v="18"/>
    <x v="28"/>
    <d v="2025-03-12T00:00:00"/>
    <x v="6"/>
    <x v="6"/>
    <s v="Zwierzyniec"/>
    <n v="21"/>
    <n v="6"/>
    <x v="8"/>
    <s v="Podgorze"/>
    <n v="42"/>
    <n v="103"/>
    <x v="94"/>
    <x v="1"/>
    <s v="standard"/>
    <n v="2022"/>
    <s v="active"/>
  </r>
  <r>
    <n v="10"/>
    <x v="14"/>
    <s v="student"/>
    <s v="Madrid"/>
    <n v="2023"/>
    <n v="104"/>
    <n v="9"/>
    <x v="37"/>
    <d v="2025-03-04T00:00:00"/>
    <x v="3"/>
    <x v="3"/>
    <s v="Zwierzyniec"/>
    <n v="18"/>
    <n v="5"/>
    <x v="1"/>
    <s v="Zwierzyniec"/>
    <n v="42"/>
    <n v="104"/>
    <x v="95"/>
    <x v="0"/>
    <s v="electric"/>
    <n v="2019"/>
    <s v="active"/>
  </r>
  <r>
    <n v="4"/>
    <x v="7"/>
    <s v="student"/>
    <s v="Prague"/>
    <n v="2023"/>
    <n v="105"/>
    <n v="18"/>
    <x v="39"/>
    <d v="2025-03-23T00:00:00"/>
    <x v="1"/>
    <x v="1"/>
    <s v="Old Town"/>
    <n v="21"/>
    <n v="6"/>
    <x v="8"/>
    <s v="Podgorze"/>
    <n v="42"/>
    <n v="105"/>
    <x v="96"/>
    <x v="2"/>
    <s v="standard"/>
    <n v="2022"/>
    <s v="active"/>
  </r>
  <r>
    <n v="7"/>
    <x v="13"/>
    <s v="student"/>
    <s v="Paris"/>
    <n v="2021"/>
    <n v="106"/>
    <n v="16"/>
    <x v="5"/>
    <d v="2025-03-24T00:00:00"/>
    <x v="5"/>
    <x v="5"/>
    <s v="Bronowice"/>
    <n v="27"/>
    <n v="4"/>
    <x v="6"/>
    <s v="Old Town"/>
    <n v="21"/>
    <n v="106"/>
    <x v="97"/>
    <x v="0"/>
    <s v="standard"/>
    <n v="2018"/>
    <s v="maintenance"/>
  </r>
  <r>
    <n v="20"/>
    <x v="5"/>
    <s v="regular"/>
    <s v="Warsaw"/>
    <n v="2020"/>
    <n v="107"/>
    <n v="10"/>
    <x v="1"/>
    <d v="2025-03-27T00:00:00"/>
    <x v="2"/>
    <x v="2"/>
    <s v="Old Town"/>
    <n v="40"/>
    <n v="9"/>
    <x v="7"/>
    <s v="Zwierzyniec"/>
    <n v="21"/>
    <n v="107"/>
    <x v="47"/>
    <x v="0"/>
    <s v="cargo"/>
    <n v="2023"/>
    <s v="retired"/>
  </r>
  <r>
    <n v="8"/>
    <x v="0"/>
    <s v="student"/>
    <s v="London"/>
    <n v="2019"/>
    <n v="108"/>
    <n v="12"/>
    <x v="29"/>
    <d v="2025-03-10T00:00:00"/>
    <x v="1"/>
    <x v="1"/>
    <s v="Old Town"/>
    <n v="21"/>
    <n v="5"/>
    <x v="1"/>
    <s v="Zwierzyniec"/>
    <n v="42"/>
    <n v="108"/>
    <x v="98"/>
    <x v="1"/>
    <s v="electric"/>
    <n v="2022"/>
    <s v="active"/>
  </r>
  <r>
    <n v="5"/>
    <x v="10"/>
    <s v="tourist"/>
    <s v="Prague"/>
    <n v="2024"/>
    <n v="109"/>
    <n v="9"/>
    <x v="48"/>
    <d v="2025-03-02T00:00:00"/>
    <x v="4"/>
    <x v="4"/>
    <s v="Nowa Huta"/>
    <n v="45"/>
    <n v="9"/>
    <x v="7"/>
    <s v="Zwierzyniec"/>
    <n v="21"/>
    <n v="109"/>
    <x v="99"/>
    <x v="1"/>
    <s v="electric"/>
    <n v="2019"/>
    <s v="active"/>
  </r>
  <r>
    <n v="23"/>
    <x v="25"/>
    <s v="tourist"/>
    <s v="Paris"/>
    <n v="2023"/>
    <n v="110"/>
    <n v="5"/>
    <x v="22"/>
    <d v="2025-03-28T00:00:00"/>
    <x v="6"/>
    <x v="6"/>
    <s v="Zwierzyniec"/>
    <n v="21"/>
    <n v="5"/>
    <x v="1"/>
    <s v="Zwierzyniec"/>
    <n v="42"/>
    <n v="110"/>
    <x v="100"/>
    <x v="0"/>
    <s v="electric"/>
    <n v="2021"/>
    <s v="active"/>
  </r>
  <r>
    <n v="28"/>
    <x v="8"/>
    <s v="tourist"/>
    <s v="Vienna"/>
    <n v="2025"/>
    <n v="111"/>
    <n v="1"/>
    <x v="45"/>
    <d v="2025-03-10T00:00:00"/>
    <x v="3"/>
    <x v="3"/>
    <s v="Zwierzyniec"/>
    <n v="18"/>
    <n v="2"/>
    <x v="0"/>
    <s v="Kazimierz"/>
    <n v="45"/>
    <n v="111"/>
    <x v="101"/>
    <x v="2"/>
    <s v="standard"/>
    <n v="2018"/>
    <s v="maintenance"/>
  </r>
  <r>
    <n v="6"/>
    <x v="28"/>
    <s v="student"/>
    <s v="Madrid"/>
    <n v="2023"/>
    <n v="112"/>
    <n v="2"/>
    <x v="43"/>
    <d v="2025-03-31T00:00:00"/>
    <x v="3"/>
    <x v="3"/>
    <s v="Zwierzyniec"/>
    <n v="18"/>
    <n v="6"/>
    <x v="8"/>
    <s v="Podgorze"/>
    <n v="42"/>
    <n v="112"/>
    <x v="40"/>
    <x v="0"/>
    <s v="electric"/>
    <n v="2020"/>
    <s v="active"/>
  </r>
  <r>
    <n v="27"/>
    <x v="24"/>
    <s v="tourist"/>
    <s v="Vienna"/>
    <n v="2023"/>
    <n v="113"/>
    <n v="3"/>
    <x v="27"/>
    <d v="2025-03-16T00:00:00"/>
    <x v="3"/>
    <x v="3"/>
    <s v="Zwierzyniec"/>
    <n v="18"/>
    <n v="2"/>
    <x v="0"/>
    <s v="Kazimierz"/>
    <n v="45"/>
    <n v="113"/>
    <x v="102"/>
    <x v="0"/>
    <s v="standard"/>
    <n v="2017"/>
    <s v="active"/>
  </r>
  <r>
    <n v="21"/>
    <x v="27"/>
    <s v="student"/>
    <s v="Madrid"/>
    <n v="2022"/>
    <n v="114"/>
    <n v="2"/>
    <x v="36"/>
    <d v="2025-03-05T00:00:00"/>
    <x v="9"/>
    <x v="9"/>
    <s v="Kazimierz"/>
    <n v="45"/>
    <n v="10"/>
    <x v="2"/>
    <s v="Old Town"/>
    <n v="40"/>
    <n v="114"/>
    <x v="103"/>
    <x v="0"/>
    <s v="electric"/>
    <n v="2020"/>
    <s v="active"/>
  </r>
  <r>
    <n v="3"/>
    <x v="2"/>
    <s v="tourist"/>
    <s v="Paris"/>
    <n v="2019"/>
    <n v="115"/>
    <n v="8"/>
    <x v="31"/>
    <d v="2025-03-18T00:00:00"/>
    <x v="2"/>
    <x v="2"/>
    <s v="Old Town"/>
    <n v="40"/>
    <n v="5"/>
    <x v="1"/>
    <s v="Zwierzyniec"/>
    <n v="42"/>
    <n v="115"/>
    <x v="25"/>
    <x v="1"/>
    <s v="cargo"/>
    <n v="2019"/>
    <s v="active"/>
  </r>
  <r>
    <n v="20"/>
    <x v="5"/>
    <s v="regular"/>
    <s v="Warsaw"/>
    <n v="2020"/>
    <n v="116"/>
    <n v="20"/>
    <x v="37"/>
    <d v="2025-03-25T00:00:00"/>
    <x v="8"/>
    <x v="8"/>
    <s v="Bronowice"/>
    <n v="44"/>
    <n v="10"/>
    <x v="2"/>
    <s v="Old Town"/>
    <n v="40"/>
    <n v="116"/>
    <x v="104"/>
    <x v="0"/>
    <s v="standard"/>
    <n v="2019"/>
    <s v="maintenance"/>
  </r>
  <r>
    <n v="15"/>
    <x v="1"/>
    <s v="tourist"/>
    <s v="London"/>
    <n v="2020"/>
    <n v="117"/>
    <n v="15"/>
    <x v="35"/>
    <d v="2025-03-28T00:00:00"/>
    <x v="6"/>
    <x v="6"/>
    <s v="Zwierzyniec"/>
    <n v="21"/>
    <n v="7"/>
    <x v="5"/>
    <s v="Bronowice"/>
    <n v="44"/>
    <n v="117"/>
    <x v="105"/>
    <x v="0"/>
    <s v="cargo"/>
    <n v="2020"/>
    <s v="active"/>
  </r>
  <r>
    <n v="10"/>
    <x v="14"/>
    <s v="student"/>
    <s v="Madrid"/>
    <n v="2023"/>
    <n v="118"/>
    <n v="19"/>
    <x v="38"/>
    <d v="2025-03-02T00:00:00"/>
    <x v="2"/>
    <x v="2"/>
    <s v="Old Town"/>
    <n v="40"/>
    <n v="7"/>
    <x v="5"/>
    <s v="Bronowice"/>
    <n v="44"/>
    <n v="118"/>
    <x v="106"/>
    <x v="0"/>
    <s v="standard"/>
    <n v="2021"/>
    <s v="active"/>
  </r>
  <r>
    <n v="25"/>
    <x v="18"/>
    <s v="student"/>
    <s v="Warsaw"/>
    <n v="2020"/>
    <n v="119"/>
    <n v="7"/>
    <x v="22"/>
    <d v="2025-03-07T00:00:00"/>
    <x v="2"/>
    <x v="2"/>
    <s v="Old Town"/>
    <n v="40"/>
    <n v="2"/>
    <x v="0"/>
    <s v="Kazimierz"/>
    <n v="45"/>
    <n v="119"/>
    <x v="107"/>
    <x v="0"/>
    <s v="electric"/>
    <n v="2018"/>
    <s v="retired"/>
  </r>
  <r>
    <n v="6"/>
    <x v="28"/>
    <s v="student"/>
    <s v="Madrid"/>
    <n v="2023"/>
    <n v="120"/>
    <n v="8"/>
    <x v="29"/>
    <d v="2025-03-18T00:00:00"/>
    <x v="7"/>
    <x v="7"/>
    <s v="Zwierzyniec"/>
    <n v="42"/>
    <n v="2"/>
    <x v="0"/>
    <s v="Kazimierz"/>
    <n v="45"/>
    <n v="120"/>
    <x v="108"/>
    <x v="0"/>
    <s v="cargo"/>
    <n v="2019"/>
    <s v="active"/>
  </r>
  <r>
    <n v="1"/>
    <x v="20"/>
    <s v="tourist"/>
    <s v="Vienna"/>
    <n v="2020"/>
    <n v="121"/>
    <n v="14"/>
    <x v="18"/>
    <d v="2025-03-23T00:00:00"/>
    <x v="9"/>
    <x v="9"/>
    <s v="Kazimierz"/>
    <n v="45"/>
    <n v="3"/>
    <x v="3"/>
    <s v="Bronowice"/>
    <n v="27"/>
    <n v="121"/>
    <x v="109"/>
    <x v="0"/>
    <s v="standard"/>
    <n v="2018"/>
    <s v="active"/>
  </r>
  <r>
    <n v="10"/>
    <x v="14"/>
    <s v="student"/>
    <s v="Madrid"/>
    <n v="2023"/>
    <n v="122"/>
    <n v="2"/>
    <x v="37"/>
    <d v="2025-03-10T00:00:00"/>
    <x v="2"/>
    <x v="2"/>
    <s v="Old Town"/>
    <n v="40"/>
    <n v="8"/>
    <x v="9"/>
    <s v="Zwierzyniec"/>
    <n v="18"/>
    <n v="122"/>
    <x v="86"/>
    <x v="1"/>
    <s v="electric"/>
    <n v="2020"/>
    <s v="active"/>
  </r>
  <r>
    <n v="3"/>
    <x v="2"/>
    <s v="tourist"/>
    <s v="Paris"/>
    <n v="2019"/>
    <n v="123"/>
    <n v="8"/>
    <x v="43"/>
    <d v="2025-03-26T00:00:00"/>
    <x v="7"/>
    <x v="7"/>
    <s v="Zwierzyniec"/>
    <n v="42"/>
    <n v="8"/>
    <x v="9"/>
    <s v="Zwierzyniec"/>
    <n v="18"/>
    <n v="123"/>
    <x v="110"/>
    <x v="1"/>
    <s v="cargo"/>
    <n v="2019"/>
    <s v="active"/>
  </r>
  <r>
    <n v="14"/>
    <x v="3"/>
    <s v="student"/>
    <s v="Warsaw"/>
    <n v="2022"/>
    <n v="124"/>
    <n v="4"/>
    <x v="49"/>
    <d v="2025-03-08T00:00:00"/>
    <x v="2"/>
    <x v="2"/>
    <s v="Old Town"/>
    <n v="40"/>
    <n v="4"/>
    <x v="6"/>
    <s v="Old Town"/>
    <n v="21"/>
    <n v="124"/>
    <x v="111"/>
    <x v="1"/>
    <s v="electric"/>
    <n v="2017"/>
    <s v="active"/>
  </r>
  <r>
    <n v="27"/>
    <x v="24"/>
    <s v="tourist"/>
    <s v="Vienna"/>
    <n v="2023"/>
    <n v="125"/>
    <n v="5"/>
    <x v="19"/>
    <d v="2025-03-02T00:00:00"/>
    <x v="5"/>
    <x v="5"/>
    <s v="Bronowice"/>
    <n v="27"/>
    <n v="5"/>
    <x v="1"/>
    <s v="Zwierzyniec"/>
    <n v="42"/>
    <n v="125"/>
    <x v="112"/>
    <x v="2"/>
    <s v="electric"/>
    <n v="2021"/>
    <s v="active"/>
  </r>
  <r>
    <n v="20"/>
    <x v="5"/>
    <s v="regular"/>
    <s v="Warsaw"/>
    <n v="2020"/>
    <n v="126"/>
    <n v="19"/>
    <x v="14"/>
    <d v="2025-03-15T00:00:00"/>
    <x v="5"/>
    <x v="5"/>
    <s v="Bronowice"/>
    <n v="27"/>
    <n v="5"/>
    <x v="1"/>
    <s v="Zwierzyniec"/>
    <n v="42"/>
    <n v="126"/>
    <x v="113"/>
    <x v="0"/>
    <s v="standard"/>
    <n v="2021"/>
    <s v="active"/>
  </r>
  <r>
    <n v="23"/>
    <x v="25"/>
    <s v="tourist"/>
    <s v="Paris"/>
    <n v="2023"/>
    <n v="127"/>
    <n v="10"/>
    <x v="47"/>
    <d v="2025-03-13T00:00:00"/>
    <x v="9"/>
    <x v="9"/>
    <s v="Kazimierz"/>
    <n v="45"/>
    <n v="8"/>
    <x v="9"/>
    <s v="Zwierzyniec"/>
    <n v="18"/>
    <n v="127"/>
    <x v="114"/>
    <x v="1"/>
    <s v="cargo"/>
    <n v="2023"/>
    <s v="retired"/>
  </r>
  <r>
    <n v="18"/>
    <x v="17"/>
    <s v="regular"/>
    <s v="Prague"/>
    <n v="2024"/>
    <n v="128"/>
    <n v="16"/>
    <x v="18"/>
    <d v="2025-03-03T00:00:00"/>
    <x v="7"/>
    <x v="7"/>
    <s v="Zwierzyniec"/>
    <n v="42"/>
    <n v="9"/>
    <x v="7"/>
    <s v="Zwierzyniec"/>
    <n v="21"/>
    <n v="128"/>
    <x v="115"/>
    <x v="1"/>
    <s v="standard"/>
    <n v="2018"/>
    <s v="maintenance"/>
  </r>
  <r>
    <n v="29"/>
    <x v="19"/>
    <s v="regular"/>
    <s v="Paris"/>
    <n v="2020"/>
    <n v="129"/>
    <n v="14"/>
    <x v="24"/>
    <d v="2025-03-11T00:00:00"/>
    <x v="2"/>
    <x v="2"/>
    <s v="Old Town"/>
    <n v="40"/>
    <n v="1"/>
    <x v="4"/>
    <s v="Nowa Huta"/>
    <n v="45"/>
    <n v="129"/>
    <x v="116"/>
    <x v="0"/>
    <s v="standard"/>
    <n v="2018"/>
    <s v="active"/>
  </r>
  <r>
    <n v="1"/>
    <x v="20"/>
    <s v="tourist"/>
    <s v="Vienna"/>
    <n v="2020"/>
    <n v="130"/>
    <n v="3"/>
    <x v="37"/>
    <d v="2025-03-31T00:00:00"/>
    <x v="2"/>
    <x v="2"/>
    <s v="Old Town"/>
    <n v="40"/>
    <n v="5"/>
    <x v="1"/>
    <s v="Zwierzyniec"/>
    <n v="42"/>
    <n v="130"/>
    <x v="20"/>
    <x v="1"/>
    <s v="standard"/>
    <n v="2017"/>
    <s v="active"/>
  </r>
  <r>
    <n v="25"/>
    <x v="18"/>
    <s v="student"/>
    <s v="Warsaw"/>
    <n v="2020"/>
    <n v="131"/>
    <n v="9"/>
    <x v="45"/>
    <d v="2025-03-02T00:00:00"/>
    <x v="2"/>
    <x v="2"/>
    <s v="Old Town"/>
    <n v="40"/>
    <n v="1"/>
    <x v="4"/>
    <s v="Nowa Huta"/>
    <n v="45"/>
    <n v="131"/>
    <x v="117"/>
    <x v="1"/>
    <s v="electric"/>
    <n v="2019"/>
    <s v="active"/>
  </r>
  <r>
    <n v="17"/>
    <x v="29"/>
    <s v="tourist"/>
    <s v="Prague"/>
    <n v="2020"/>
    <n v="132"/>
    <n v="15"/>
    <x v="5"/>
    <d v="2025-03-06T00:00:00"/>
    <x v="5"/>
    <x v="5"/>
    <s v="Bronowice"/>
    <n v="27"/>
    <n v="8"/>
    <x v="9"/>
    <s v="Zwierzyniec"/>
    <n v="18"/>
    <n v="132"/>
    <x v="118"/>
    <x v="0"/>
    <s v="cargo"/>
    <n v="2020"/>
    <s v="active"/>
  </r>
  <r>
    <n v="21"/>
    <x v="27"/>
    <s v="student"/>
    <s v="Madrid"/>
    <n v="2022"/>
    <n v="133"/>
    <n v="16"/>
    <x v="16"/>
    <d v="2025-03-16T00:00:00"/>
    <x v="2"/>
    <x v="2"/>
    <s v="Old Town"/>
    <n v="40"/>
    <n v="7"/>
    <x v="5"/>
    <s v="Bronowice"/>
    <n v="44"/>
    <n v="133"/>
    <x v="119"/>
    <x v="0"/>
    <s v="standard"/>
    <n v="2018"/>
    <s v="maintenance"/>
  </r>
  <r>
    <n v="11"/>
    <x v="12"/>
    <s v="student"/>
    <s v="Vienna"/>
    <n v="2025"/>
    <n v="134"/>
    <n v="11"/>
    <x v="3"/>
    <d v="2025-03-04T00:00:00"/>
    <x v="0"/>
    <x v="0"/>
    <s v="Podgorze"/>
    <n v="42"/>
    <n v="7"/>
    <x v="5"/>
    <s v="Bronowice"/>
    <n v="44"/>
    <n v="134"/>
    <x v="120"/>
    <x v="1"/>
    <s v="cargo"/>
    <n v="2020"/>
    <s v="maintenance"/>
  </r>
  <r>
    <n v="14"/>
    <x v="3"/>
    <s v="student"/>
    <s v="Warsaw"/>
    <n v="2022"/>
    <n v="135"/>
    <n v="16"/>
    <x v="14"/>
    <d v="2025-03-22T00:00:00"/>
    <x v="5"/>
    <x v="5"/>
    <s v="Bronowice"/>
    <n v="27"/>
    <n v="6"/>
    <x v="8"/>
    <s v="Podgorze"/>
    <n v="42"/>
    <n v="135"/>
    <x v="121"/>
    <x v="1"/>
    <s v="standard"/>
    <n v="2018"/>
    <s v="maintenance"/>
  </r>
  <r>
    <n v="2"/>
    <x v="6"/>
    <s v="tourist"/>
    <s v="Warsaw"/>
    <n v="2024"/>
    <n v="136"/>
    <n v="15"/>
    <x v="16"/>
    <d v="2025-03-11T00:00:00"/>
    <x v="8"/>
    <x v="8"/>
    <s v="Bronowice"/>
    <n v="44"/>
    <n v="9"/>
    <x v="7"/>
    <s v="Zwierzyniec"/>
    <n v="21"/>
    <n v="136"/>
    <x v="122"/>
    <x v="0"/>
    <s v="cargo"/>
    <n v="2020"/>
    <s v="active"/>
  </r>
  <r>
    <n v="4"/>
    <x v="7"/>
    <s v="student"/>
    <s v="Prague"/>
    <n v="2023"/>
    <n v="137"/>
    <n v="13"/>
    <x v="20"/>
    <d v="2025-03-17T00:00:00"/>
    <x v="7"/>
    <x v="7"/>
    <s v="Zwierzyniec"/>
    <n v="42"/>
    <n v="6"/>
    <x v="8"/>
    <s v="Podgorze"/>
    <n v="42"/>
    <n v="137"/>
    <x v="123"/>
    <x v="0"/>
    <s v="cargo"/>
    <n v="2024"/>
    <s v="active"/>
  </r>
  <r>
    <n v="15"/>
    <x v="1"/>
    <s v="tourist"/>
    <s v="London"/>
    <n v="2020"/>
    <n v="138"/>
    <n v="14"/>
    <x v="4"/>
    <d v="2025-03-07T00:00:00"/>
    <x v="4"/>
    <x v="4"/>
    <s v="Nowa Huta"/>
    <n v="45"/>
    <n v="9"/>
    <x v="7"/>
    <s v="Zwierzyniec"/>
    <n v="21"/>
    <n v="138"/>
    <x v="124"/>
    <x v="0"/>
    <s v="standard"/>
    <n v="2018"/>
    <s v="active"/>
  </r>
  <r>
    <n v="20"/>
    <x v="5"/>
    <s v="regular"/>
    <s v="Warsaw"/>
    <n v="2020"/>
    <n v="139"/>
    <n v="16"/>
    <x v="22"/>
    <d v="2025-03-15T00:00:00"/>
    <x v="6"/>
    <x v="6"/>
    <s v="Zwierzyniec"/>
    <n v="21"/>
    <n v="6"/>
    <x v="8"/>
    <s v="Podgorze"/>
    <n v="42"/>
    <n v="139"/>
    <x v="125"/>
    <x v="0"/>
    <s v="standard"/>
    <n v="2018"/>
    <s v="maintenance"/>
  </r>
  <r>
    <n v="9"/>
    <x v="9"/>
    <s v="student"/>
    <s v="London"/>
    <n v="2025"/>
    <n v="140"/>
    <n v="18"/>
    <x v="11"/>
    <d v="2025-03-30T00:00:00"/>
    <x v="4"/>
    <x v="4"/>
    <s v="Nowa Huta"/>
    <n v="45"/>
    <n v="4"/>
    <x v="6"/>
    <s v="Old Town"/>
    <n v="21"/>
    <n v="140"/>
    <x v="126"/>
    <x v="0"/>
    <s v="standard"/>
    <n v="2022"/>
    <s v="active"/>
  </r>
  <r>
    <n v="29"/>
    <x v="19"/>
    <s v="regular"/>
    <s v="Paris"/>
    <n v="2020"/>
    <n v="141"/>
    <n v="16"/>
    <x v="31"/>
    <d v="2025-03-01T00:00:00"/>
    <x v="7"/>
    <x v="7"/>
    <s v="Zwierzyniec"/>
    <n v="42"/>
    <n v="8"/>
    <x v="9"/>
    <s v="Zwierzyniec"/>
    <n v="18"/>
    <n v="141"/>
    <x v="127"/>
    <x v="0"/>
    <s v="standard"/>
    <n v="2018"/>
    <s v="maintenance"/>
  </r>
  <r>
    <n v="23"/>
    <x v="25"/>
    <s v="tourist"/>
    <s v="Paris"/>
    <n v="2023"/>
    <n v="142"/>
    <n v="6"/>
    <x v="35"/>
    <d v="2025-03-18T00:00:00"/>
    <x v="2"/>
    <x v="2"/>
    <s v="Old Town"/>
    <n v="40"/>
    <n v="4"/>
    <x v="6"/>
    <s v="Old Town"/>
    <n v="21"/>
    <n v="142"/>
    <x v="24"/>
    <x v="1"/>
    <s v="standard"/>
    <n v="2018"/>
    <s v="active"/>
  </r>
  <r>
    <n v="14"/>
    <x v="3"/>
    <s v="student"/>
    <s v="Warsaw"/>
    <n v="2022"/>
    <n v="143"/>
    <n v="3"/>
    <x v="37"/>
    <d v="2025-03-27T00:00:00"/>
    <x v="4"/>
    <x v="4"/>
    <s v="Nowa Huta"/>
    <n v="45"/>
    <n v="9"/>
    <x v="7"/>
    <s v="Zwierzyniec"/>
    <n v="21"/>
    <n v="143"/>
    <x v="128"/>
    <x v="0"/>
    <s v="standard"/>
    <n v="2017"/>
    <s v="active"/>
  </r>
  <r>
    <n v="4"/>
    <x v="7"/>
    <s v="student"/>
    <s v="Prague"/>
    <n v="2023"/>
    <n v="144"/>
    <n v="5"/>
    <x v="50"/>
    <d v="2025-03-30T00:00:00"/>
    <x v="9"/>
    <x v="9"/>
    <s v="Kazimierz"/>
    <n v="45"/>
    <n v="8"/>
    <x v="9"/>
    <s v="Zwierzyniec"/>
    <n v="18"/>
    <n v="144"/>
    <x v="129"/>
    <x v="0"/>
    <s v="electric"/>
    <n v="2021"/>
    <s v="active"/>
  </r>
  <r>
    <n v="23"/>
    <x v="25"/>
    <s v="tourist"/>
    <s v="Paris"/>
    <n v="2023"/>
    <n v="145"/>
    <n v="9"/>
    <x v="7"/>
    <d v="2025-03-27T00:00:00"/>
    <x v="7"/>
    <x v="7"/>
    <s v="Zwierzyniec"/>
    <n v="42"/>
    <n v="9"/>
    <x v="7"/>
    <s v="Zwierzyniec"/>
    <n v="21"/>
    <n v="145"/>
    <x v="130"/>
    <x v="0"/>
    <s v="electric"/>
    <n v="2019"/>
    <s v="active"/>
  </r>
  <r>
    <n v="15"/>
    <x v="1"/>
    <s v="tourist"/>
    <s v="London"/>
    <n v="2020"/>
    <n v="146"/>
    <n v="18"/>
    <x v="36"/>
    <d v="2025-03-13T00:00:00"/>
    <x v="3"/>
    <x v="3"/>
    <s v="Zwierzyniec"/>
    <n v="18"/>
    <n v="4"/>
    <x v="6"/>
    <s v="Old Town"/>
    <n v="21"/>
    <n v="146"/>
    <x v="131"/>
    <x v="0"/>
    <s v="standard"/>
    <n v="2022"/>
    <s v="active"/>
  </r>
  <r>
    <n v="17"/>
    <x v="29"/>
    <s v="tourist"/>
    <s v="Prague"/>
    <n v="2020"/>
    <n v="147"/>
    <n v="5"/>
    <x v="20"/>
    <d v="2025-03-03T00:00:00"/>
    <x v="1"/>
    <x v="1"/>
    <s v="Old Town"/>
    <n v="21"/>
    <n v="10"/>
    <x v="2"/>
    <s v="Old Town"/>
    <n v="40"/>
    <n v="147"/>
    <x v="132"/>
    <x v="0"/>
    <s v="electric"/>
    <n v="2021"/>
    <s v="active"/>
  </r>
  <r>
    <n v="11"/>
    <x v="12"/>
    <s v="student"/>
    <s v="Vienna"/>
    <n v="2025"/>
    <n v="148"/>
    <n v="17"/>
    <x v="5"/>
    <d v="2025-03-27T00:00:00"/>
    <x v="7"/>
    <x v="7"/>
    <s v="Zwierzyniec"/>
    <n v="42"/>
    <n v="7"/>
    <x v="5"/>
    <s v="Bronowice"/>
    <n v="44"/>
    <n v="148"/>
    <x v="133"/>
    <x v="0"/>
    <s v="standard"/>
    <n v="2020"/>
    <s v="active"/>
  </r>
  <r>
    <n v="24"/>
    <x v="4"/>
    <s v="student"/>
    <s v="Berlin"/>
    <n v="2023"/>
    <n v="149"/>
    <n v="10"/>
    <x v="12"/>
    <d v="2025-03-19T00:00:00"/>
    <x v="4"/>
    <x v="4"/>
    <s v="Nowa Huta"/>
    <n v="45"/>
    <n v="5"/>
    <x v="1"/>
    <s v="Zwierzyniec"/>
    <n v="42"/>
    <n v="149"/>
    <x v="134"/>
    <x v="2"/>
    <s v="cargo"/>
    <n v="2023"/>
    <s v="retired"/>
  </r>
  <r>
    <n v="28"/>
    <x v="8"/>
    <s v="tourist"/>
    <s v="Vienna"/>
    <n v="2025"/>
    <n v="150"/>
    <n v="5"/>
    <x v="18"/>
    <d v="2025-03-18T00:00:00"/>
    <x v="2"/>
    <x v="2"/>
    <s v="Old Town"/>
    <n v="40"/>
    <n v="8"/>
    <x v="9"/>
    <s v="Zwierzyniec"/>
    <n v="18"/>
    <n v="150"/>
    <x v="135"/>
    <x v="2"/>
    <s v="electric"/>
    <n v="2021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4C889-6456-478B-9456-7CA2CBF0E13D}" name="Tabela przestawna7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D105:E1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11">
        <item x="4"/>
        <item x="2"/>
        <item x="9"/>
        <item x="5"/>
        <item x="1"/>
        <item x="7"/>
        <item x="0"/>
        <item x="8"/>
        <item x="3"/>
        <item x="6"/>
        <item t="default"/>
      </items>
    </pivotField>
    <pivotField showAll="0"/>
    <pivotField showAll="0"/>
    <pivotField showAll="0"/>
    <pivotField axis="axisRow" dataField="1" showAll="0">
      <items count="11">
        <item x="4"/>
        <item x="2"/>
        <item x="0"/>
        <item x="3"/>
        <item x="6"/>
        <item x="1"/>
        <item x="8"/>
        <item x="5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stations.station_name.1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07A74-09CC-42CC-81B7-25DF8C49F212}" name="Tabela przestawna6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05:B1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11">
        <item x="4"/>
        <item x="9"/>
        <item x="5"/>
        <item x="1"/>
        <item x="7"/>
        <item x="0"/>
        <item x="8"/>
        <item x="3"/>
        <item x="6"/>
        <item x="2"/>
        <item t="default"/>
      </items>
    </pivotField>
    <pivotField axis="axisRow" dataField="1" showAll="0">
      <items count="11">
        <item sd="0" x="4"/>
        <item sd="0" x="2"/>
        <item x="9"/>
        <item x="5"/>
        <item x="1"/>
        <item x="7"/>
        <item x="0"/>
        <item x="8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stations.station_nam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B2D22-8400-4286-B845-202B2F7E4733}" name="Tabela przestawna5" cacheId="15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 chartFormat="41">
  <location ref="A71:B101" firstHeaderRow="1" firstDataRow="1" firstDataCol="1"/>
  <pivotFields count="23">
    <pivotField showAll="0"/>
    <pivotField axis="axisRow" showAll="0" sortType="ascending">
      <items count="31">
        <item x="8"/>
        <item x="7"/>
        <item x="13"/>
        <item x="1"/>
        <item x="0"/>
        <item x="20"/>
        <item x="12"/>
        <item x="18"/>
        <item x="9"/>
        <item x="29"/>
        <item x="11"/>
        <item x="27"/>
        <item x="4"/>
        <item x="24"/>
        <item x="5"/>
        <item x="19"/>
        <item x="26"/>
        <item x="28"/>
        <item x="25"/>
        <item x="2"/>
        <item x="21"/>
        <item x="15"/>
        <item x="17"/>
        <item x="22"/>
        <item x="16"/>
        <item x="10"/>
        <item x="6"/>
        <item x="3"/>
        <item x="2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52">
        <item x="17"/>
        <item x="41"/>
        <item x="48"/>
        <item x="4"/>
        <item x="19"/>
        <item x="16"/>
        <item x="1"/>
        <item x="31"/>
        <item x="11"/>
        <item x="36"/>
        <item x="10"/>
        <item x="29"/>
        <item x="0"/>
        <item x="2"/>
        <item x="37"/>
        <item x="9"/>
        <item x="43"/>
        <item x="5"/>
        <item x="14"/>
        <item x="35"/>
        <item x="34"/>
        <item x="28"/>
        <item x="23"/>
        <item x="46"/>
        <item x="27"/>
        <item x="7"/>
        <item x="30"/>
        <item x="18"/>
        <item x="42"/>
        <item x="8"/>
        <item x="50"/>
        <item x="15"/>
        <item x="49"/>
        <item x="21"/>
        <item x="45"/>
        <item x="38"/>
        <item x="22"/>
        <item x="3"/>
        <item x="6"/>
        <item x="47"/>
        <item x="32"/>
        <item x="33"/>
        <item x="24"/>
        <item x="39"/>
        <item x="44"/>
        <item x="13"/>
        <item x="40"/>
        <item x="26"/>
        <item x="12"/>
        <item x="25"/>
        <item x="2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 v="16"/>
    </i>
    <i>
      <x v="17"/>
    </i>
    <i>
      <x v="10"/>
    </i>
    <i>
      <x v="26"/>
    </i>
    <i>
      <x v="9"/>
    </i>
    <i>
      <x v="11"/>
    </i>
    <i>
      <x v="13"/>
    </i>
    <i>
      <x v="4"/>
    </i>
    <i>
      <x v="15"/>
    </i>
    <i>
      <x v="24"/>
    </i>
    <i>
      <x v="2"/>
    </i>
    <i>
      <x v="12"/>
    </i>
    <i>
      <x v="5"/>
    </i>
    <i>
      <x v="21"/>
    </i>
    <i>
      <x v="20"/>
    </i>
    <i>
      <x v="23"/>
    </i>
    <i>
      <x v="25"/>
    </i>
    <i>
      <x v="3"/>
    </i>
    <i>
      <x/>
    </i>
    <i>
      <x v="29"/>
    </i>
    <i>
      <x v="8"/>
    </i>
    <i>
      <x v="19"/>
    </i>
    <i>
      <x v="7"/>
    </i>
    <i>
      <x v="22"/>
    </i>
    <i>
      <x v="1"/>
    </i>
    <i>
      <x v="28"/>
    </i>
    <i>
      <x v="18"/>
    </i>
    <i>
      <x v="6"/>
    </i>
    <i>
      <x v="14"/>
    </i>
    <i>
      <x v="27"/>
    </i>
  </rowItems>
  <colItems count="1">
    <i/>
  </colItems>
  <dataFields count="1">
    <dataField name="Suma z rides.duration_min" fld="7" baseField="0" baseItem="0"/>
  </dataFields>
  <chartFormats count="1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8BBF2-7D5E-4759-ADDE-EB832A774121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62:B6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7">
        <item x="48"/>
        <item x="112"/>
        <item x="58"/>
        <item x="57"/>
        <item x="79"/>
        <item x="91"/>
        <item x="107"/>
        <item x="39"/>
        <item x="68"/>
        <item x="23"/>
        <item x="129"/>
        <item x="28"/>
        <item x="56"/>
        <item x="29"/>
        <item x="44"/>
        <item x="114"/>
        <item x="121"/>
        <item x="20"/>
        <item x="131"/>
        <item x="59"/>
        <item x="17"/>
        <item x="8"/>
        <item x="64"/>
        <item x="33"/>
        <item x="53"/>
        <item x="61"/>
        <item x="94"/>
        <item x="88"/>
        <item x="69"/>
        <item x="36"/>
        <item x="99"/>
        <item x="18"/>
        <item x="89"/>
        <item x="31"/>
        <item x="72"/>
        <item x="70"/>
        <item x="105"/>
        <item x="101"/>
        <item x="87"/>
        <item x="13"/>
        <item x="119"/>
        <item x="66"/>
        <item x="14"/>
        <item x="111"/>
        <item x="127"/>
        <item x="116"/>
        <item x="30"/>
        <item x="60"/>
        <item x="75"/>
        <item x="6"/>
        <item x="96"/>
        <item x="25"/>
        <item x="45"/>
        <item x="108"/>
        <item x="71"/>
        <item x="118"/>
        <item x="19"/>
        <item x="34"/>
        <item x="11"/>
        <item x="81"/>
        <item x="15"/>
        <item x="106"/>
        <item x="135"/>
        <item x="120"/>
        <item x="115"/>
        <item x="109"/>
        <item x="42"/>
        <item x="37"/>
        <item x="77"/>
        <item x="3"/>
        <item x="128"/>
        <item x="0"/>
        <item x="35"/>
        <item x="63"/>
        <item x="83"/>
        <item x="16"/>
        <item x="117"/>
        <item x="98"/>
        <item x="104"/>
        <item x="86"/>
        <item x="74"/>
        <item x="2"/>
        <item x="73"/>
        <item x="76"/>
        <item x="78"/>
        <item x="85"/>
        <item x="133"/>
        <item x="22"/>
        <item x="55"/>
        <item x="32"/>
        <item x="46"/>
        <item x="84"/>
        <item x="126"/>
        <item x="130"/>
        <item x="54"/>
        <item x="27"/>
        <item x="5"/>
        <item x="51"/>
        <item x="49"/>
        <item x="21"/>
        <item x="97"/>
        <item x="100"/>
        <item x="4"/>
        <item x="102"/>
        <item x="52"/>
        <item x="67"/>
        <item x="93"/>
        <item x="125"/>
        <item x="47"/>
        <item x="50"/>
        <item x="9"/>
        <item x="113"/>
        <item x="123"/>
        <item x="103"/>
        <item x="134"/>
        <item x="62"/>
        <item x="122"/>
        <item x="26"/>
        <item x="124"/>
        <item x="38"/>
        <item x="90"/>
        <item x="110"/>
        <item x="7"/>
        <item x="1"/>
        <item x="65"/>
        <item x="82"/>
        <item x="24"/>
        <item x="132"/>
        <item x="41"/>
        <item x="92"/>
        <item x="12"/>
        <item x="95"/>
        <item x="10"/>
        <item x="40"/>
        <item x="80"/>
        <item x="4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payments.amount_PL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1E755-78EA-45D8-84D2-56C2F42A1290}" name="Tabela przestawna3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N25:N26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z payments.amount_PL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826B1-AF42-410D-BD1E-4B74638DB913}" name="Tabela przestawna2" cacheId="15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I25:J55" firstHeaderRow="1" firstDataRow="1" firstDataCol="1"/>
  <pivotFields count="23">
    <pivotField showAll="0"/>
    <pivotField axis="axisRow" showAll="0" sortType="descending">
      <items count="31">
        <item x="8"/>
        <item x="7"/>
        <item x="13"/>
        <item x="1"/>
        <item x="0"/>
        <item x="20"/>
        <item x="12"/>
        <item x="18"/>
        <item x="9"/>
        <item x="29"/>
        <item x="11"/>
        <item x="27"/>
        <item x="4"/>
        <item x="24"/>
        <item x="5"/>
        <item x="19"/>
        <item x="26"/>
        <item x="28"/>
        <item x="25"/>
        <item x="2"/>
        <item x="21"/>
        <item x="15"/>
        <item x="17"/>
        <item x="22"/>
        <item x="16"/>
        <item x="10"/>
        <item x="6"/>
        <item x="3"/>
        <item x="2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 v="24"/>
    </i>
    <i>
      <x v="22"/>
    </i>
    <i>
      <x v="20"/>
    </i>
    <i>
      <x v="18"/>
    </i>
    <i>
      <x v="28"/>
    </i>
    <i>
      <x v="9"/>
    </i>
    <i>
      <x v="12"/>
    </i>
    <i>
      <x v="7"/>
    </i>
    <i>
      <x v="10"/>
    </i>
    <i>
      <x v="6"/>
    </i>
    <i>
      <x v="1"/>
    </i>
    <i>
      <x v="21"/>
    </i>
    <i>
      <x/>
    </i>
    <i>
      <x v="27"/>
    </i>
    <i>
      <x v="2"/>
    </i>
    <i>
      <x v="23"/>
    </i>
    <i>
      <x v="8"/>
    </i>
    <i>
      <x v="15"/>
    </i>
    <i>
      <x v="29"/>
    </i>
    <i>
      <x v="5"/>
    </i>
    <i>
      <x v="14"/>
    </i>
    <i>
      <x v="19"/>
    </i>
    <i>
      <x v="3"/>
    </i>
    <i>
      <x v="13"/>
    </i>
    <i>
      <x v="25"/>
    </i>
    <i>
      <x v="4"/>
    </i>
    <i>
      <x v="11"/>
    </i>
    <i>
      <x v="26"/>
    </i>
    <i>
      <x v="17"/>
    </i>
    <i>
      <x v="16"/>
    </i>
  </rowItems>
  <colItems count="1">
    <i/>
  </colItems>
  <dataFields count="1">
    <dataField name="Średnia z rides.duration_min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2A17D-B653-40B2-A0A4-0881B34A343E}" name="Tabela przestawna1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5:B56" firstHeaderRow="1" firstDataRow="1" firstDataCol="1"/>
  <pivotFields count="23">
    <pivotField showAll="0"/>
    <pivotField axis="axisRow" dataField="1" showAll="0">
      <items count="31">
        <item x="8"/>
        <item x="7"/>
        <item x="13"/>
        <item x="1"/>
        <item x="0"/>
        <item x="20"/>
        <item x="12"/>
        <item x="18"/>
        <item x="9"/>
        <item x="29"/>
        <item x="11"/>
        <item x="27"/>
        <item x="4"/>
        <item x="24"/>
        <item x="5"/>
        <item x="19"/>
        <item x="26"/>
        <item x="28"/>
        <item x="25"/>
        <item x="2"/>
        <item x="21"/>
        <item x="15"/>
        <item x="17"/>
        <item x="22"/>
        <item x="16"/>
        <item x="10"/>
        <item x="6"/>
        <item x="3"/>
        <item x="2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Liczba z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3E026EAE-4A8A-4B5B-B7B0-94C6A34C9C4C}" autoFormatId="16" applyNumberFormats="0" applyBorderFormats="0" applyFontFormats="0" applyPatternFormats="0" applyAlignmentFormats="0" applyWidthHeightFormats="0">
  <queryTableRefresh nextId="26" unboundColumnsRight="1">
    <queryTableFields count="24">
      <queryTableField id="1" name="user_id" tableColumnId="1"/>
      <queryTableField id="2" name="name" tableColumnId="2"/>
      <queryTableField id="3" name="user_type" tableColumnId="3"/>
      <queryTableField id="4" name="city" tableColumnId="4"/>
      <queryTableField id="5" name="registration_year" tableColumnId="5"/>
      <queryTableField id="6" name="rides.ride_id" tableColumnId="6"/>
      <queryTableField id="7" name="rides.bike_id" tableColumnId="7"/>
      <queryTableField id="8" name="rides.duration_min" tableColumnId="8"/>
      <queryTableField id="9" name="rides.ride_date" tableColumnId="9"/>
      <queryTableField id="10" name="rides.start_station" tableColumnId="10"/>
      <queryTableField id="11" name="stations.station_name" tableColumnId="11"/>
      <queryTableField id="12" name="stations.district" tableColumnId="12"/>
      <queryTableField id="13" name="stations.capacity" tableColumnId="13"/>
      <queryTableField id="14" name="rides.end_station" tableColumnId="14"/>
      <queryTableField id="15" name="stations.station_name.1" tableColumnId="15"/>
      <queryTableField id="16" name="stations.district.1" tableColumnId="16"/>
      <queryTableField id="17" name="stations.capacity.1" tableColumnId="17"/>
      <queryTableField id="18" name="payments.payment_id" tableColumnId="18"/>
      <queryTableField id="19" name="payments.amount_PLN" tableColumnId="19"/>
      <queryTableField id="20" name="payments.payment_type" tableColumnId="20"/>
      <queryTableField id="21" name="bikes.bike_type" tableColumnId="21"/>
      <queryTableField id="22" name="bikes.purchase_year" tableColumnId="22"/>
      <queryTableField id="23" name="bikes.status" tableColumnId="23"/>
      <queryTableField id="25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6158A33B-597B-4610-9232-78BB6F383BDA}" autoFormatId="16" applyNumberFormats="0" applyBorderFormats="0" applyFontFormats="0" applyPatternFormats="0" applyAlignmentFormats="0" applyWidthHeightFormats="0">
  <queryTableRefresh nextId="6">
    <queryTableFields count="5">
      <queryTableField id="1" name="user_id" tableColumnId="1"/>
      <queryTableField id="2" name="name" tableColumnId="2"/>
      <queryTableField id="3" name="user_type" tableColumnId="3"/>
      <queryTableField id="4" name="city" tableColumnId="4"/>
      <queryTableField id="5" name="registration_yea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5810A30-7682-45E0-A70D-887A5D9FCE5E}" autoFormatId="16" applyNumberFormats="0" applyBorderFormats="0" applyFontFormats="0" applyPatternFormats="0" applyAlignmentFormats="0" applyWidthHeightFormats="0">
  <queryTableRefresh nextId="5">
    <queryTableFields count="4">
      <queryTableField id="1" name="station_id" tableColumnId="1"/>
      <queryTableField id="2" name="station_name" tableColumnId="2"/>
      <queryTableField id="3" name="district" tableColumnId="3"/>
      <queryTableField id="4" name="capac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8BE349E-433C-4278-BC79-2BF1A238ED13}" autoFormatId="16" applyNumberFormats="0" applyBorderFormats="0" applyFontFormats="0" applyPatternFormats="0" applyAlignmentFormats="0" applyWidthHeightFormats="0">
  <queryTableRefresh nextId="8">
    <queryTableFields count="7">
      <queryTableField id="1" name="ride_id" tableColumnId="1"/>
      <queryTableField id="2" name="user_id" tableColumnId="2"/>
      <queryTableField id="3" name="bike_id" tableColumnId="3"/>
      <queryTableField id="4" name="start_station" tableColumnId="4"/>
      <queryTableField id="5" name="end_station" tableColumnId="5"/>
      <queryTableField id="6" name="duration_min" tableColumnId="6"/>
      <queryTableField id="7" name="ride_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D7CA34F-828D-4E0C-A38F-853D5F86F509}" autoFormatId="16" applyNumberFormats="0" applyBorderFormats="0" applyFontFormats="0" applyPatternFormats="0" applyAlignmentFormats="0" applyWidthHeightFormats="0">
  <queryTableRefresh nextId="5">
    <queryTableFields count="4">
      <queryTableField id="1" name="payment_id" tableColumnId="1"/>
      <queryTableField id="2" name="ride_id" tableColumnId="2"/>
      <queryTableField id="3" name="amount_PLN" tableColumnId="3"/>
      <queryTableField id="4" name="payment_typ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824D2F-3995-476D-8339-F0F4A347F846}" autoFormatId="16" applyNumberFormats="0" applyBorderFormats="0" applyFontFormats="0" applyPatternFormats="0" applyAlignmentFormats="0" applyWidthHeightFormats="0">
  <queryTableRefresh nextId="5">
    <queryTableFields count="4">
      <queryTableField id="1" name="bike_id" tableColumnId="1"/>
      <queryTableField id="2" name="bike_type" tableColumnId="2"/>
      <queryTableField id="3" name="purchase_year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1F2518-28FE-47DB-A805-3A3529A75AB4}" name="tabela_cala" displayName="tabela_cala" ref="A1:X151" tableType="queryTable" totalsRowShown="0">
  <autoFilter ref="A1:X151" xr:uid="{411F2518-28FE-47DB-A805-3A3529A75AB4}"/>
  <tableColumns count="24">
    <tableColumn id="1" xr3:uid="{A27222E8-1C4C-4C56-90A5-866F68AD7285}" uniqueName="1" name="user_id" queryTableFieldId="1"/>
    <tableColumn id="2" xr3:uid="{EBEBBCD3-8D63-4444-A8DC-CD5B6C154EE4}" uniqueName="2" name="name" queryTableFieldId="2" dataDxfId="16"/>
    <tableColumn id="3" xr3:uid="{EBB158A4-6AEF-4586-B9C9-09ECA31B42F0}" uniqueName="3" name="user_type" queryTableFieldId="3" dataDxfId="15"/>
    <tableColumn id="4" xr3:uid="{DEA48392-3EDA-434A-86C6-D3E411C803CA}" uniqueName="4" name="city" queryTableFieldId="4" dataDxfId="14"/>
    <tableColumn id="5" xr3:uid="{76C2F4EB-FEC2-4910-B01B-BE7AA812884E}" uniqueName="5" name="registration_year" queryTableFieldId="5"/>
    <tableColumn id="6" xr3:uid="{936E6A73-6CE1-420B-8E86-3D0C4CF057E1}" uniqueName="6" name="rides.ride_id" queryTableFieldId="6"/>
    <tableColumn id="7" xr3:uid="{8D2558D7-1829-45F5-812A-DC62CC2AC4AA}" uniqueName="7" name="rides.bike_id" queryTableFieldId="7"/>
    <tableColumn id="8" xr3:uid="{8510F54B-6888-46E7-B086-C3A31CA4EEE5}" uniqueName="8" name="rides.duration_min" queryTableFieldId="8"/>
    <tableColumn id="9" xr3:uid="{F1E3F14B-6670-4B27-A942-9EDAA5CB5A85}" uniqueName="9" name="rides.ride_date" queryTableFieldId="9" dataDxfId="13"/>
    <tableColumn id="10" xr3:uid="{FFEB72F2-D6CF-4061-9CBB-90D88BB9FBCE}" uniqueName="10" name="rides.start_station" queryTableFieldId="10"/>
    <tableColumn id="11" xr3:uid="{9F6246CA-2DDA-4BD2-A51D-451BD0DD6A97}" uniqueName="11" name="stations.station_name" queryTableFieldId="11" dataDxfId="12"/>
    <tableColumn id="12" xr3:uid="{ABEF275A-DF74-4D74-9083-6CDA54710A35}" uniqueName="12" name="stations.district" queryTableFieldId="12" dataDxfId="11"/>
    <tableColumn id="13" xr3:uid="{EF3011FF-5E53-4441-B3AF-051BCC93E5B3}" uniqueName="13" name="stations.capacity" queryTableFieldId="13"/>
    <tableColumn id="14" xr3:uid="{219A1037-EA74-4E73-809F-D254860760EB}" uniqueName="14" name="rides.end_station" queryTableFieldId="14"/>
    <tableColumn id="15" xr3:uid="{D3CE2ACE-4B87-4F83-9092-DA1267542FA0}" uniqueName="15" name="stations.station_name.1" queryTableFieldId="15" dataDxfId="10"/>
    <tableColumn id="16" xr3:uid="{52634E0E-79B8-4002-9D93-CD36C7F8D499}" uniqueName="16" name="stations.district.1" queryTableFieldId="16" dataDxfId="9"/>
    <tableColumn id="17" xr3:uid="{A8311356-DC1D-40AB-9326-DB6B6F0FE962}" uniqueName="17" name="stations.capacity.1" queryTableFieldId="17"/>
    <tableColumn id="18" xr3:uid="{60E24309-CE5C-4AFB-8BB4-56ABE91201A6}" uniqueName="18" name="payments.payment_id" queryTableFieldId="18"/>
    <tableColumn id="19" xr3:uid="{71FAFD4A-BE28-4181-91E0-FC8428EEC267}" uniqueName="19" name="payments.amount_PLN" queryTableFieldId="19"/>
    <tableColumn id="20" xr3:uid="{061404C9-C83E-4749-A2BB-362715CE8B31}" uniqueName="20" name="payments.payment_type" queryTableFieldId="20" dataDxfId="8"/>
    <tableColumn id="21" xr3:uid="{077578E5-0FC2-4208-B267-255D21CC7ACA}" uniqueName="21" name="bikes.bike_type" queryTableFieldId="21" dataDxfId="7"/>
    <tableColumn id="22" xr3:uid="{20EF56C0-45B0-4CF3-8D7B-E97F9DC38009}" uniqueName="22" name="bikes.purchase_year" queryTableFieldId="22"/>
    <tableColumn id="23" xr3:uid="{AEB51CCC-BAAF-464F-B730-0A51C1F88B28}" uniqueName="23" name="bikes.status" queryTableFieldId="23" dataDxfId="6"/>
    <tableColumn id="27" xr3:uid="{A9BEAD14-835E-46FE-807B-46A7213A20B7}" uniqueName="27" name="Kolumna1" queryTableFieldId="25" dataDxfId="0">
      <calculatedColumnFormula>WEEKDAY(tabela_cala[[#This Row],[rides.ride_date]],2)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69DEF7-2B1C-4421-9DAA-21139FC0E20C}" name="Tabela8" displayName="Tabela8" ref="A123:E133" totalsRowShown="0">
  <autoFilter ref="A123:E133" xr:uid="{5F69DEF7-2B1C-4421-9DAA-21139FC0E20C}"/>
  <tableColumns count="5">
    <tableColumn id="1" xr3:uid="{C0104CAE-C1F9-4F32-BC38-C8AF7CC7FAE1}" name="Stacja" dataDxfId="5"/>
    <tableColumn id="2" xr3:uid="{47174CE8-40C5-40C9-963D-4AF97679E124}" name="Ilość startów" dataDxfId="4"/>
    <tableColumn id="3" xr3:uid="{44077202-FB7B-491D-AA3E-DEC3F7D69402}" name="Ilość końców" dataDxfId="3"/>
    <tableColumn id="4" xr3:uid="{F5B91697-68EC-4D0E-BB5D-FD83BCBC89BB}" name="Inbalans" dataDxfId="2">
      <calculatedColumnFormula>Tabela8[[#This Row],[Ilość startów]]-Tabela8[[#This Row],[Ilość końców]]</calculatedColumnFormula>
    </tableColumn>
    <tableColumn id="5" xr3:uid="{8A6F4D23-8A01-48EF-8101-7F0EADE149AF}" name="Klasyfikacja" dataDxfId="1">
      <calculatedColumnFormula>IF(ABS(Tabela8[[#This Row],[Inbalans]])&lt;=3,"balanced",IF(Tabela8[[#This Row],[Inbalans]]&gt;3,"source","sink"))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1692CA-6796-45F5-89C8-89F21CBD2F66}" name="users" displayName="users" ref="A1:E31" tableType="queryTable" totalsRowShown="0">
  <autoFilter ref="A1:E31" xr:uid="{9C1692CA-6796-45F5-89C8-89F21CBD2F66}"/>
  <tableColumns count="5">
    <tableColumn id="1" xr3:uid="{A8CF9F1D-E12B-4DD5-875E-89FC36396227}" uniqueName="1" name="user_id" queryTableFieldId="1"/>
    <tableColumn id="2" xr3:uid="{BAB3724C-74D4-4014-B8D3-FAE1D11840B9}" uniqueName="2" name="name" queryTableFieldId="2" dataDxfId="19"/>
    <tableColumn id="3" xr3:uid="{A109E69D-5DAC-4AAF-823E-5F632DA45A3F}" uniqueName="3" name="user_type" queryTableFieldId="3" dataDxfId="18"/>
    <tableColumn id="4" xr3:uid="{FBFFF5C6-0FE8-41D1-9A93-B292D1109038}" uniqueName="4" name="city" queryTableFieldId="4" dataDxfId="17"/>
    <tableColumn id="5" xr3:uid="{41DB5C71-8205-4558-A45E-82C0D94FDC88}" uniqueName="5" name="registration_year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9E8FE3-BCDD-4CC1-8807-537375DC7FB8}" name="stations" displayName="stations" ref="A1:D11" tableType="queryTable" totalsRowShown="0">
  <autoFilter ref="A1:D11" xr:uid="{A59E8FE3-BCDD-4CC1-8807-537375DC7FB8}"/>
  <tableColumns count="4">
    <tableColumn id="1" xr3:uid="{A0927CBA-2294-4B01-ADC5-6BDFA592FF25}" uniqueName="1" name="station_id" queryTableFieldId="1"/>
    <tableColumn id="2" xr3:uid="{AEEA33BF-4706-48F6-B4AB-8AB20480ED81}" uniqueName="2" name="station_name" queryTableFieldId="2" dataDxfId="21"/>
    <tableColumn id="3" xr3:uid="{951C912E-5B44-4945-840E-BD6E95E664BE}" uniqueName="3" name="district" queryTableFieldId="3" dataDxfId="20"/>
    <tableColumn id="4" xr3:uid="{94E55B66-A408-4058-B644-6DD702D03E61}" uniqueName="4" name="capacity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509DF2-A387-4557-A589-E4BDAB3C2238}" name="rides" displayName="rides" ref="A1:G151" tableType="queryTable" totalsRowShown="0">
  <autoFilter ref="A1:G151" xr:uid="{67509DF2-A387-4557-A589-E4BDAB3C2238}"/>
  <tableColumns count="7">
    <tableColumn id="1" xr3:uid="{BF7BB858-1C70-4F70-923A-DFD7C250E06E}" uniqueName="1" name="ride_id" queryTableFieldId="1"/>
    <tableColumn id="2" xr3:uid="{AC2F50A0-BD78-4038-8F48-130745F5BE79}" uniqueName="2" name="user_id" queryTableFieldId="2"/>
    <tableColumn id="3" xr3:uid="{4424CB31-1E00-4207-B59A-8FF14732A3A3}" uniqueName="3" name="bike_id" queryTableFieldId="3"/>
    <tableColumn id="4" xr3:uid="{AAB46BAE-B62A-49C0-9AFC-AB53DC8418E4}" uniqueName="4" name="start_station" queryTableFieldId="4"/>
    <tableColumn id="5" xr3:uid="{3B0DA7B6-E662-47E7-A35D-8EF70CFB753A}" uniqueName="5" name="end_station" queryTableFieldId="5"/>
    <tableColumn id="6" xr3:uid="{20C41428-AD8C-47AA-8BB3-5B23C3ADC58C}" uniqueName="6" name="duration_min" queryTableFieldId="6"/>
    <tableColumn id="7" xr3:uid="{6026D6D8-8C4A-403E-BC12-22120753F79C}" uniqueName="7" name="ride_date" queryTableFieldId="7" dataDxf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F66B6-C9C2-4915-8943-02EC0751AE5C}" name="payments" displayName="payments" ref="A1:D151" tableType="queryTable" totalsRowShown="0">
  <autoFilter ref="A1:D151" xr:uid="{ED1F66B6-C9C2-4915-8943-02EC0751AE5C}"/>
  <tableColumns count="4">
    <tableColumn id="1" xr3:uid="{1AD80305-B9D5-4DB6-A9BA-750EFFED5547}" uniqueName="1" name="payment_id" queryTableFieldId="1"/>
    <tableColumn id="2" xr3:uid="{8B75B70D-938D-4EEF-83E3-9D6EC2709EEE}" uniqueName="2" name="ride_id" queryTableFieldId="2"/>
    <tableColumn id="3" xr3:uid="{7B95FEEC-C071-439E-AF07-B6D7F60DD526}" uniqueName="3" name="amount_PLN" queryTableFieldId="3"/>
    <tableColumn id="4" xr3:uid="{917F3890-F125-43E4-ACE1-9F5E8E694428}" uniqueName="4" name="payment_type" queryTableFieldId="4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F66B5-3816-4D17-B9AA-BA3F52A9D043}" name="bikes" displayName="bikes" ref="A1:D21" tableType="queryTable" totalsRowShown="0">
  <autoFilter ref="A1:D21" xr:uid="{FDEF66B5-3816-4D17-B9AA-BA3F52A9D043}"/>
  <tableColumns count="4">
    <tableColumn id="1" xr3:uid="{D7F51935-4D7A-424E-A993-132D28B5E675}" uniqueName="1" name="bike_id" queryTableFieldId="1"/>
    <tableColumn id="2" xr3:uid="{7120AF85-D004-4A0F-8727-BEAC2D9636D0}" uniqueName="2" name="bike_type" queryTableFieldId="2" dataDxfId="25"/>
    <tableColumn id="3" xr3:uid="{2AEAAC94-7823-4AFA-BE03-0C17B0FEF601}" uniqueName="3" name="purchase_year" queryTableFieldId="3"/>
    <tableColumn id="4" xr3:uid="{394D8C9D-B1C3-4649-85B5-B2DF1791B4DF}" uniqueName="4" name="status" queryTableFieldId="4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80D6-DE7C-4849-8455-A220474F765A}">
  <dimension ref="A1:X151"/>
  <sheetViews>
    <sheetView tabSelected="1" topLeftCell="N2" workbookViewId="0">
      <selection activeCell="X3" sqref="X3"/>
    </sheetView>
  </sheetViews>
  <sheetFormatPr defaultRowHeight="15" x14ac:dyDescent="0.25"/>
  <cols>
    <col min="1" max="1" width="9.85546875" bestFit="1" customWidth="1"/>
    <col min="2" max="2" width="17.28515625" bestFit="1" customWidth="1"/>
    <col min="3" max="3" width="12.140625" bestFit="1" customWidth="1"/>
    <col min="4" max="4" width="8.140625" bestFit="1" customWidth="1"/>
    <col min="5" max="5" width="18.5703125" bestFit="1" customWidth="1"/>
    <col min="6" max="6" width="14.5703125" bestFit="1" customWidth="1"/>
    <col min="7" max="7" width="14.85546875" bestFit="1" customWidth="1"/>
    <col min="8" max="8" width="20.5703125" bestFit="1" customWidth="1"/>
    <col min="9" max="9" width="17" bestFit="1" customWidth="1"/>
    <col min="10" max="10" width="20" bestFit="1" customWidth="1"/>
    <col min="11" max="11" width="23.7109375" bestFit="1" customWidth="1"/>
    <col min="12" max="12" width="17.7109375" bestFit="1" customWidth="1"/>
    <col min="13" max="13" width="18.7109375" bestFit="1" customWidth="1"/>
    <col min="14" max="14" width="19.140625" bestFit="1" customWidth="1"/>
    <col min="15" max="15" width="25.28515625" bestFit="1" customWidth="1"/>
    <col min="16" max="16" width="19.28515625" bestFit="1" customWidth="1"/>
    <col min="17" max="17" width="20.42578125" bestFit="1" customWidth="1"/>
    <col min="18" max="18" width="23.42578125" bestFit="1" customWidth="1"/>
    <col min="19" max="19" width="24.42578125" bestFit="1" customWidth="1"/>
    <col min="20" max="20" width="25.85546875" bestFit="1" customWidth="1"/>
    <col min="21" max="21" width="17.5703125" bestFit="1" customWidth="1"/>
    <col min="22" max="22" width="22" bestFit="1" customWidth="1"/>
    <col min="23" max="23" width="14.28515625" bestFit="1" customWidth="1"/>
    <col min="24" max="24" width="9.42578125" bestFit="1" customWidth="1"/>
  </cols>
  <sheetData>
    <row r="1" spans="1:24" x14ac:dyDescent="0.25">
      <c r="A1" t="s">
        <v>17</v>
      </c>
      <c r="B1" t="s">
        <v>42</v>
      </c>
      <c r="C1" t="s">
        <v>43</v>
      </c>
      <c r="D1" t="s">
        <v>44</v>
      </c>
      <c r="E1" t="s">
        <v>45</v>
      </c>
      <c r="F1" t="s">
        <v>87</v>
      </c>
      <c r="G1" t="s">
        <v>88</v>
      </c>
      <c r="H1" t="s">
        <v>91</v>
      </c>
      <c r="I1" t="s">
        <v>92</v>
      </c>
      <c r="J1" t="s">
        <v>89</v>
      </c>
      <c r="K1" t="s">
        <v>93</v>
      </c>
      <c r="L1" t="s">
        <v>94</v>
      </c>
      <c r="M1" t="s">
        <v>95</v>
      </c>
      <c r="N1" t="s">
        <v>90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111</v>
      </c>
    </row>
    <row r="2" spans="1:24" x14ac:dyDescent="0.25">
      <c r="A2">
        <v>8</v>
      </c>
      <c r="B2" s="1" t="s">
        <v>60</v>
      </c>
      <c r="C2" s="1" t="s">
        <v>54</v>
      </c>
      <c r="D2" s="1" t="s">
        <v>61</v>
      </c>
      <c r="E2">
        <v>2019</v>
      </c>
      <c r="F2">
        <v>1</v>
      </c>
      <c r="G2">
        <v>7</v>
      </c>
      <c r="H2">
        <v>17</v>
      </c>
      <c r="I2" s="2">
        <v>45734</v>
      </c>
      <c r="J2">
        <v>6</v>
      </c>
      <c r="K2" s="1" t="s">
        <v>36</v>
      </c>
      <c r="L2" s="1" t="s">
        <v>37</v>
      </c>
      <c r="M2">
        <v>42</v>
      </c>
      <c r="N2">
        <v>2</v>
      </c>
      <c r="O2" s="1" t="s">
        <v>28</v>
      </c>
      <c r="P2" s="1" t="s">
        <v>29</v>
      </c>
      <c r="Q2">
        <v>45</v>
      </c>
      <c r="R2">
        <v>1</v>
      </c>
      <c r="S2">
        <v>8.3000000000000007</v>
      </c>
      <c r="T2" s="1" t="s">
        <v>14</v>
      </c>
      <c r="U2" s="1" t="s">
        <v>6</v>
      </c>
      <c r="V2">
        <v>2018</v>
      </c>
      <c r="W2" s="1" t="s">
        <v>8</v>
      </c>
      <c r="X2" s="1">
        <f>WEEKDAY(tabela_cala[[#This Row],[rides.ride_date]],2)</f>
        <v>2</v>
      </c>
    </row>
    <row r="3" spans="1:24" x14ac:dyDescent="0.25">
      <c r="A3">
        <v>15</v>
      </c>
      <c r="B3" s="1" t="s">
        <v>68</v>
      </c>
      <c r="C3" s="1" t="s">
        <v>47</v>
      </c>
      <c r="D3" s="1" t="s">
        <v>61</v>
      </c>
      <c r="E3">
        <v>2020</v>
      </c>
      <c r="F3">
        <v>3</v>
      </c>
      <c r="G3">
        <v>18</v>
      </c>
      <c r="H3">
        <v>11</v>
      </c>
      <c r="I3" s="2">
        <v>45718</v>
      </c>
      <c r="J3">
        <v>4</v>
      </c>
      <c r="K3" s="1" t="s">
        <v>32</v>
      </c>
      <c r="L3" s="1" t="s">
        <v>33</v>
      </c>
      <c r="M3">
        <v>21</v>
      </c>
      <c r="N3">
        <v>2</v>
      </c>
      <c r="O3" s="1" t="s">
        <v>28</v>
      </c>
      <c r="P3" s="1" t="s">
        <v>29</v>
      </c>
      <c r="Q3">
        <v>45</v>
      </c>
      <c r="R3">
        <v>3</v>
      </c>
      <c r="S3">
        <v>14.13</v>
      </c>
      <c r="T3" s="1" t="s">
        <v>15</v>
      </c>
      <c r="U3" s="1" t="s">
        <v>4</v>
      </c>
      <c r="V3">
        <v>2022</v>
      </c>
      <c r="W3" s="1" t="s">
        <v>7</v>
      </c>
      <c r="X3" s="1">
        <f>WEEKDAY(tabela_cala[[#This Row],[rides.ride_date]],2)</f>
        <v>7</v>
      </c>
    </row>
    <row r="4" spans="1:24" x14ac:dyDescent="0.25">
      <c r="A4">
        <v>3</v>
      </c>
      <c r="B4" s="1" t="s">
        <v>51</v>
      </c>
      <c r="C4" s="1" t="s">
        <v>47</v>
      </c>
      <c r="D4" s="1" t="s">
        <v>52</v>
      </c>
      <c r="E4">
        <v>2019</v>
      </c>
      <c r="F4">
        <v>18</v>
      </c>
      <c r="G4">
        <v>18</v>
      </c>
      <c r="H4">
        <v>18</v>
      </c>
      <c r="I4" s="2">
        <v>45733</v>
      </c>
      <c r="J4">
        <v>10</v>
      </c>
      <c r="K4" s="1" t="s">
        <v>41</v>
      </c>
      <c r="L4" s="1" t="s">
        <v>33</v>
      </c>
      <c r="M4">
        <v>40</v>
      </c>
      <c r="N4">
        <v>2</v>
      </c>
      <c r="O4" s="1" t="s">
        <v>28</v>
      </c>
      <c r="P4" s="1" t="s">
        <v>29</v>
      </c>
      <c r="Q4">
        <v>45</v>
      </c>
      <c r="R4">
        <v>18</v>
      </c>
      <c r="S4">
        <v>10.1</v>
      </c>
      <c r="T4" s="1" t="s">
        <v>14</v>
      </c>
      <c r="U4" s="1" t="s">
        <v>4</v>
      </c>
      <c r="V4">
        <v>2022</v>
      </c>
      <c r="W4" s="1" t="s">
        <v>7</v>
      </c>
      <c r="X4" s="1">
        <f>WEEKDAY(tabela_cala[[#This Row],[rides.ride_date]],2)</f>
        <v>1</v>
      </c>
    </row>
    <row r="5" spans="1:24" x14ac:dyDescent="0.25">
      <c r="A5">
        <v>14</v>
      </c>
      <c r="B5" s="1" t="s">
        <v>67</v>
      </c>
      <c r="C5" s="1" t="s">
        <v>54</v>
      </c>
      <c r="D5" s="1" t="s">
        <v>50</v>
      </c>
      <c r="E5">
        <v>2022</v>
      </c>
      <c r="F5">
        <v>7</v>
      </c>
      <c r="G5">
        <v>18</v>
      </c>
      <c r="H5">
        <v>47</v>
      </c>
      <c r="I5" s="2">
        <v>45739</v>
      </c>
      <c r="J5">
        <v>8</v>
      </c>
      <c r="K5" s="1" t="s">
        <v>39</v>
      </c>
      <c r="L5" s="1" t="s">
        <v>35</v>
      </c>
      <c r="M5">
        <v>18</v>
      </c>
      <c r="N5">
        <v>5</v>
      </c>
      <c r="O5" s="1" t="s">
        <v>34</v>
      </c>
      <c r="P5" s="1" t="s">
        <v>35</v>
      </c>
      <c r="Q5">
        <v>42</v>
      </c>
      <c r="R5">
        <v>7</v>
      </c>
      <c r="S5">
        <v>8.15</v>
      </c>
      <c r="T5" s="1" t="s">
        <v>16</v>
      </c>
      <c r="U5" s="1" t="s">
        <v>4</v>
      </c>
      <c r="V5">
        <v>2022</v>
      </c>
      <c r="W5" s="1" t="s">
        <v>7</v>
      </c>
      <c r="X5" s="1">
        <f>WEEKDAY(tabela_cala[[#This Row],[rides.ride_date]],2)</f>
        <v>7</v>
      </c>
    </row>
    <row r="6" spans="1:24" x14ac:dyDescent="0.25">
      <c r="A6">
        <v>24</v>
      </c>
      <c r="B6" s="1" t="s">
        <v>80</v>
      </c>
      <c r="C6" s="1" t="s">
        <v>54</v>
      </c>
      <c r="D6" s="1" t="s">
        <v>78</v>
      </c>
      <c r="E6">
        <v>2023</v>
      </c>
      <c r="F6">
        <v>9</v>
      </c>
      <c r="G6">
        <v>18</v>
      </c>
      <c r="H6">
        <v>8</v>
      </c>
      <c r="I6" s="2">
        <v>45740</v>
      </c>
      <c r="J6">
        <v>1</v>
      </c>
      <c r="K6" s="1" t="s">
        <v>26</v>
      </c>
      <c r="L6" s="1" t="s">
        <v>27</v>
      </c>
      <c r="M6">
        <v>45</v>
      </c>
      <c r="N6">
        <v>10</v>
      </c>
      <c r="O6" s="1" t="s">
        <v>41</v>
      </c>
      <c r="P6" s="1" t="s">
        <v>33</v>
      </c>
      <c r="Q6">
        <v>40</v>
      </c>
      <c r="R6">
        <v>9</v>
      </c>
      <c r="S6">
        <v>12.3</v>
      </c>
      <c r="T6" s="1" t="s">
        <v>15</v>
      </c>
      <c r="U6" s="1" t="s">
        <v>4</v>
      </c>
      <c r="V6">
        <v>2022</v>
      </c>
      <c r="W6" s="1" t="s">
        <v>7</v>
      </c>
      <c r="X6" s="1">
        <f>WEEKDAY(tabela_cala[[#This Row],[rides.ride_date]],2)</f>
        <v>1</v>
      </c>
    </row>
    <row r="7" spans="1:24" x14ac:dyDescent="0.25">
      <c r="A7">
        <v>14</v>
      </c>
      <c r="B7" s="1" t="s">
        <v>67</v>
      </c>
      <c r="C7" s="1" t="s">
        <v>54</v>
      </c>
      <c r="D7" s="1" t="s">
        <v>50</v>
      </c>
      <c r="E7">
        <v>2022</v>
      </c>
      <c r="F7">
        <v>2</v>
      </c>
      <c r="G7">
        <v>6</v>
      </c>
      <c r="H7">
        <v>22</v>
      </c>
      <c r="I7" s="2">
        <v>45731</v>
      </c>
      <c r="J7">
        <v>8</v>
      </c>
      <c r="K7" s="1" t="s">
        <v>39</v>
      </c>
      <c r="L7" s="1" t="s">
        <v>35</v>
      </c>
      <c r="M7">
        <v>18</v>
      </c>
      <c r="N7">
        <v>3</v>
      </c>
      <c r="O7" s="1" t="s">
        <v>30</v>
      </c>
      <c r="P7" s="1" t="s">
        <v>31</v>
      </c>
      <c r="Q7">
        <v>27</v>
      </c>
      <c r="R7">
        <v>2</v>
      </c>
      <c r="S7">
        <v>11.92</v>
      </c>
      <c r="T7" s="1" t="s">
        <v>14</v>
      </c>
      <c r="U7" s="1" t="s">
        <v>4</v>
      </c>
      <c r="V7">
        <v>2018</v>
      </c>
      <c r="W7" s="1" t="s">
        <v>7</v>
      </c>
      <c r="X7" s="1">
        <f>WEEKDAY(tabela_cala[[#This Row],[rides.ride_date]],2)</f>
        <v>6</v>
      </c>
    </row>
    <row r="8" spans="1:24" x14ac:dyDescent="0.25">
      <c r="A8">
        <v>20</v>
      </c>
      <c r="B8" s="1" t="s">
        <v>75</v>
      </c>
      <c r="C8" s="1" t="s">
        <v>72</v>
      </c>
      <c r="D8" s="1" t="s">
        <v>50</v>
      </c>
      <c r="E8">
        <v>2020</v>
      </c>
      <c r="F8">
        <v>12</v>
      </c>
      <c r="G8">
        <v>3</v>
      </c>
      <c r="H8">
        <v>48</v>
      </c>
      <c r="I8" s="2">
        <v>45744</v>
      </c>
      <c r="J8">
        <v>3</v>
      </c>
      <c r="K8" s="1" t="s">
        <v>30</v>
      </c>
      <c r="L8" s="1" t="s">
        <v>31</v>
      </c>
      <c r="M8">
        <v>27</v>
      </c>
      <c r="N8">
        <v>2</v>
      </c>
      <c r="O8" s="1" t="s">
        <v>28</v>
      </c>
      <c r="P8" s="1" t="s">
        <v>29</v>
      </c>
      <c r="Q8">
        <v>45</v>
      </c>
      <c r="R8">
        <v>12</v>
      </c>
      <c r="S8">
        <v>6.32</v>
      </c>
      <c r="T8" s="1" t="s">
        <v>14</v>
      </c>
      <c r="U8" s="1" t="s">
        <v>4</v>
      </c>
      <c r="V8">
        <v>2017</v>
      </c>
      <c r="W8" s="1" t="s">
        <v>7</v>
      </c>
      <c r="X8" s="1">
        <f>WEEKDAY(tabela_cala[[#This Row],[rides.ride_date]],2)</f>
        <v>5</v>
      </c>
    </row>
    <row r="9" spans="1:24" x14ac:dyDescent="0.25">
      <c r="A9">
        <v>20</v>
      </c>
      <c r="B9" s="1" t="s">
        <v>75</v>
      </c>
      <c r="C9" s="1" t="s">
        <v>72</v>
      </c>
      <c r="D9" s="1" t="s">
        <v>50</v>
      </c>
      <c r="E9">
        <v>2020</v>
      </c>
      <c r="F9">
        <v>14</v>
      </c>
      <c r="G9">
        <v>3</v>
      </c>
      <c r="H9">
        <v>31</v>
      </c>
      <c r="I9" s="2">
        <v>45738</v>
      </c>
      <c r="J9">
        <v>10</v>
      </c>
      <c r="K9" s="1" t="s">
        <v>41</v>
      </c>
      <c r="L9" s="1" t="s">
        <v>33</v>
      </c>
      <c r="M9">
        <v>40</v>
      </c>
      <c r="N9">
        <v>1</v>
      </c>
      <c r="O9" s="1" t="s">
        <v>26</v>
      </c>
      <c r="P9" s="1" t="s">
        <v>27</v>
      </c>
      <c r="Q9">
        <v>45</v>
      </c>
      <c r="R9">
        <v>14</v>
      </c>
      <c r="S9">
        <v>13.84</v>
      </c>
      <c r="T9" s="1" t="s">
        <v>14</v>
      </c>
      <c r="U9" s="1" t="s">
        <v>4</v>
      </c>
      <c r="V9">
        <v>2017</v>
      </c>
      <c r="W9" s="1" t="s">
        <v>7</v>
      </c>
      <c r="X9" s="1">
        <f>WEEKDAY(tabela_cala[[#This Row],[rides.ride_date]],2)</f>
        <v>6</v>
      </c>
    </row>
    <row r="10" spans="1:24" x14ac:dyDescent="0.25">
      <c r="A10">
        <v>2</v>
      </c>
      <c r="B10" s="1" t="s">
        <v>49</v>
      </c>
      <c r="C10" s="1" t="s">
        <v>47</v>
      </c>
      <c r="D10" s="1" t="s">
        <v>50</v>
      </c>
      <c r="E10">
        <v>2024</v>
      </c>
      <c r="F10">
        <v>10</v>
      </c>
      <c r="G10">
        <v>19</v>
      </c>
      <c r="H10">
        <v>35</v>
      </c>
      <c r="I10" s="2">
        <v>45733</v>
      </c>
      <c r="J10">
        <v>6</v>
      </c>
      <c r="K10" s="1" t="s">
        <v>36</v>
      </c>
      <c r="L10" s="1" t="s">
        <v>37</v>
      </c>
      <c r="M10">
        <v>42</v>
      </c>
      <c r="N10">
        <v>1</v>
      </c>
      <c r="O10" s="1" t="s">
        <v>26</v>
      </c>
      <c r="P10" s="1" t="s">
        <v>27</v>
      </c>
      <c r="Q10">
        <v>45</v>
      </c>
      <c r="R10">
        <v>10</v>
      </c>
      <c r="S10">
        <v>3.98</v>
      </c>
      <c r="T10" s="1" t="s">
        <v>16</v>
      </c>
      <c r="U10" s="1" t="s">
        <v>4</v>
      </c>
      <c r="V10">
        <v>2021</v>
      </c>
      <c r="W10" s="1" t="s">
        <v>7</v>
      </c>
      <c r="X10" s="1">
        <f>WEEKDAY(tabela_cala[[#This Row],[rides.ride_date]],2)</f>
        <v>1</v>
      </c>
    </row>
    <row r="11" spans="1:24" x14ac:dyDescent="0.25">
      <c r="A11">
        <v>4</v>
      </c>
      <c r="B11" s="1" t="s">
        <v>53</v>
      </c>
      <c r="C11" s="1" t="s">
        <v>54</v>
      </c>
      <c r="D11" s="1" t="s">
        <v>55</v>
      </c>
      <c r="E11">
        <v>2023</v>
      </c>
      <c r="F11">
        <v>13</v>
      </c>
      <c r="G11">
        <v>19</v>
      </c>
      <c r="H11">
        <v>20</v>
      </c>
      <c r="I11" s="2">
        <v>45735</v>
      </c>
      <c r="J11">
        <v>4</v>
      </c>
      <c r="K11" s="1" t="s">
        <v>32</v>
      </c>
      <c r="L11" s="1" t="s">
        <v>33</v>
      </c>
      <c r="M11">
        <v>21</v>
      </c>
      <c r="N11">
        <v>7</v>
      </c>
      <c r="O11" s="1" t="s">
        <v>38</v>
      </c>
      <c r="P11" s="1" t="s">
        <v>31</v>
      </c>
      <c r="Q11">
        <v>44</v>
      </c>
      <c r="R11">
        <v>13</v>
      </c>
      <c r="S11">
        <v>12.99</v>
      </c>
      <c r="T11" s="1" t="s">
        <v>14</v>
      </c>
      <c r="U11" s="1" t="s">
        <v>4</v>
      </c>
      <c r="V11">
        <v>2021</v>
      </c>
      <c r="W11" s="1" t="s">
        <v>7</v>
      </c>
      <c r="X11" s="1">
        <f>WEEKDAY(tabela_cala[[#This Row],[rides.ride_date]],2)</f>
        <v>3</v>
      </c>
    </row>
    <row r="12" spans="1:24" x14ac:dyDescent="0.25">
      <c r="A12">
        <v>3</v>
      </c>
      <c r="B12" s="1" t="s">
        <v>51</v>
      </c>
      <c r="C12" s="1" t="s">
        <v>47</v>
      </c>
      <c r="D12" s="1" t="s">
        <v>52</v>
      </c>
      <c r="E12">
        <v>2019</v>
      </c>
      <c r="F12">
        <v>4</v>
      </c>
      <c r="G12">
        <v>8</v>
      </c>
      <c r="H12">
        <v>15</v>
      </c>
      <c r="I12" s="2">
        <v>45730</v>
      </c>
      <c r="J12">
        <v>9</v>
      </c>
      <c r="K12" s="1" t="s">
        <v>40</v>
      </c>
      <c r="L12" s="1" t="s">
        <v>35</v>
      </c>
      <c r="M12">
        <v>21</v>
      </c>
      <c r="N12">
        <v>1</v>
      </c>
      <c r="O12" s="1" t="s">
        <v>26</v>
      </c>
      <c r="P12" s="1" t="s">
        <v>27</v>
      </c>
      <c r="Q12">
        <v>45</v>
      </c>
      <c r="R12">
        <v>4</v>
      </c>
      <c r="S12">
        <v>14.75</v>
      </c>
      <c r="T12" s="1" t="s">
        <v>14</v>
      </c>
      <c r="U12" s="1" t="s">
        <v>9</v>
      </c>
      <c r="V12">
        <v>2019</v>
      </c>
      <c r="W12" s="1" t="s">
        <v>7</v>
      </c>
      <c r="X12" s="1">
        <f>WEEKDAY(tabela_cala[[#This Row],[rides.ride_date]],2)</f>
        <v>5</v>
      </c>
    </row>
    <row r="13" spans="1:24" x14ac:dyDescent="0.25">
      <c r="A13">
        <v>28</v>
      </c>
      <c r="B13" s="1" t="s">
        <v>84</v>
      </c>
      <c r="C13" s="1" t="s">
        <v>47</v>
      </c>
      <c r="D13" s="1" t="s">
        <v>48</v>
      </c>
      <c r="E13">
        <v>2025</v>
      </c>
      <c r="F13">
        <v>5</v>
      </c>
      <c r="G13">
        <v>13</v>
      </c>
      <c r="H13">
        <v>8</v>
      </c>
      <c r="I13" s="2">
        <v>45722</v>
      </c>
      <c r="J13">
        <v>8</v>
      </c>
      <c r="K13" s="1" t="s">
        <v>39</v>
      </c>
      <c r="L13" s="1" t="s">
        <v>35</v>
      </c>
      <c r="M13">
        <v>18</v>
      </c>
      <c r="N13">
        <v>4</v>
      </c>
      <c r="O13" s="1" t="s">
        <v>32</v>
      </c>
      <c r="P13" s="1" t="s">
        <v>33</v>
      </c>
      <c r="Q13">
        <v>21</v>
      </c>
      <c r="R13">
        <v>5</v>
      </c>
      <c r="S13">
        <v>6.98</v>
      </c>
      <c r="T13" s="1" t="s">
        <v>15</v>
      </c>
      <c r="U13" s="1" t="s">
        <v>9</v>
      </c>
      <c r="V13">
        <v>2024</v>
      </c>
      <c r="W13" s="1" t="s">
        <v>7</v>
      </c>
      <c r="X13" s="1">
        <f>WEEKDAY(tabela_cala[[#This Row],[rides.ride_date]],2)</f>
        <v>4</v>
      </c>
    </row>
    <row r="14" spans="1:24" x14ac:dyDescent="0.25">
      <c r="A14">
        <v>9</v>
      </c>
      <c r="B14" s="1" t="s">
        <v>62</v>
      </c>
      <c r="C14" s="1" t="s">
        <v>54</v>
      </c>
      <c r="D14" s="1" t="s">
        <v>61</v>
      </c>
      <c r="E14">
        <v>2025</v>
      </c>
      <c r="F14">
        <v>16</v>
      </c>
      <c r="G14">
        <v>13</v>
      </c>
      <c r="H14">
        <v>13</v>
      </c>
      <c r="I14" s="2">
        <v>45738</v>
      </c>
      <c r="J14">
        <v>6</v>
      </c>
      <c r="K14" s="1" t="s">
        <v>36</v>
      </c>
      <c r="L14" s="1" t="s">
        <v>37</v>
      </c>
      <c r="M14">
        <v>42</v>
      </c>
      <c r="N14">
        <v>4</v>
      </c>
      <c r="O14" s="1" t="s">
        <v>32</v>
      </c>
      <c r="P14" s="1" t="s">
        <v>33</v>
      </c>
      <c r="Q14">
        <v>21</v>
      </c>
      <c r="R14">
        <v>16</v>
      </c>
      <c r="S14">
        <v>14.61</v>
      </c>
      <c r="T14" s="1" t="s">
        <v>14</v>
      </c>
      <c r="U14" s="1" t="s">
        <v>9</v>
      </c>
      <c r="V14">
        <v>2024</v>
      </c>
      <c r="W14" s="1" t="s">
        <v>7</v>
      </c>
      <c r="X14" s="1">
        <f>WEEKDAY(tabela_cala[[#This Row],[rides.ride_date]],2)</f>
        <v>6</v>
      </c>
    </row>
    <row r="15" spans="1:24" x14ac:dyDescent="0.25">
      <c r="A15">
        <v>3</v>
      </c>
      <c r="B15" s="1" t="s">
        <v>51</v>
      </c>
      <c r="C15" s="1" t="s">
        <v>47</v>
      </c>
      <c r="D15" s="1" t="s">
        <v>52</v>
      </c>
      <c r="E15">
        <v>2019</v>
      </c>
      <c r="F15">
        <v>25</v>
      </c>
      <c r="G15">
        <v>14</v>
      </c>
      <c r="H15">
        <v>58</v>
      </c>
      <c r="I15" s="2">
        <v>45725</v>
      </c>
      <c r="J15">
        <v>5</v>
      </c>
      <c r="K15" s="1" t="s">
        <v>34</v>
      </c>
      <c r="L15" s="1" t="s">
        <v>35</v>
      </c>
      <c r="M15">
        <v>42</v>
      </c>
      <c r="N15">
        <v>1</v>
      </c>
      <c r="O15" s="1" t="s">
        <v>26</v>
      </c>
      <c r="P15" s="1" t="s">
        <v>27</v>
      </c>
      <c r="Q15">
        <v>45</v>
      </c>
      <c r="R15">
        <v>25</v>
      </c>
      <c r="S15">
        <v>5.74</v>
      </c>
      <c r="T15" s="1" t="s">
        <v>14</v>
      </c>
      <c r="U15" s="1" t="s">
        <v>4</v>
      </c>
      <c r="V15">
        <v>2018</v>
      </c>
      <c r="W15" s="1" t="s">
        <v>7</v>
      </c>
      <c r="X15" s="1">
        <f>WEEKDAY(tabela_cala[[#This Row],[rides.ride_date]],2)</f>
        <v>7</v>
      </c>
    </row>
    <row r="16" spans="1:24" x14ac:dyDescent="0.25">
      <c r="A16">
        <v>5</v>
      </c>
      <c r="B16" s="1" t="s">
        <v>56</v>
      </c>
      <c r="C16" s="1" t="s">
        <v>47</v>
      </c>
      <c r="D16" s="1" t="s">
        <v>55</v>
      </c>
      <c r="E16">
        <v>2024</v>
      </c>
      <c r="F16">
        <v>29</v>
      </c>
      <c r="G16">
        <v>14</v>
      </c>
      <c r="H16">
        <v>13</v>
      </c>
      <c r="I16" s="2">
        <v>45718</v>
      </c>
      <c r="J16">
        <v>10</v>
      </c>
      <c r="K16" s="1" t="s">
        <v>41</v>
      </c>
      <c r="L16" s="1" t="s">
        <v>33</v>
      </c>
      <c r="M16">
        <v>40</v>
      </c>
      <c r="N16">
        <v>9</v>
      </c>
      <c r="O16" s="1" t="s">
        <v>40</v>
      </c>
      <c r="P16" s="1" t="s">
        <v>35</v>
      </c>
      <c r="Q16">
        <v>21</v>
      </c>
      <c r="R16">
        <v>29</v>
      </c>
      <c r="S16">
        <v>5.89</v>
      </c>
      <c r="T16" s="1" t="s">
        <v>14</v>
      </c>
      <c r="U16" s="1" t="s">
        <v>4</v>
      </c>
      <c r="V16">
        <v>2018</v>
      </c>
      <c r="W16" s="1" t="s">
        <v>7</v>
      </c>
      <c r="X16" s="1">
        <f>WEEKDAY(tabela_cala[[#This Row],[rides.ride_date]],2)</f>
        <v>7</v>
      </c>
    </row>
    <row r="17" spans="1:24" x14ac:dyDescent="0.25">
      <c r="A17">
        <v>13</v>
      </c>
      <c r="B17" s="1" t="s">
        <v>66</v>
      </c>
      <c r="C17" s="1" t="s">
        <v>47</v>
      </c>
      <c r="D17" s="1" t="s">
        <v>55</v>
      </c>
      <c r="E17">
        <v>2025</v>
      </c>
      <c r="F17">
        <v>6</v>
      </c>
      <c r="G17">
        <v>9</v>
      </c>
      <c r="H17">
        <v>55</v>
      </c>
      <c r="I17" s="2">
        <v>45742</v>
      </c>
      <c r="J17">
        <v>7</v>
      </c>
      <c r="K17" s="1" t="s">
        <v>38</v>
      </c>
      <c r="L17" s="1" t="s">
        <v>31</v>
      </c>
      <c r="M17">
        <v>44</v>
      </c>
      <c r="N17">
        <v>1</v>
      </c>
      <c r="O17" s="1" t="s">
        <v>26</v>
      </c>
      <c r="P17" s="1" t="s">
        <v>27</v>
      </c>
      <c r="Q17">
        <v>45</v>
      </c>
      <c r="R17">
        <v>6</v>
      </c>
      <c r="S17">
        <v>7.34</v>
      </c>
      <c r="T17" s="1" t="s">
        <v>14</v>
      </c>
      <c r="U17" s="1" t="s">
        <v>6</v>
      </c>
      <c r="V17">
        <v>2019</v>
      </c>
      <c r="W17" s="1" t="s">
        <v>7</v>
      </c>
      <c r="X17" s="1">
        <f>WEEKDAY(tabela_cala[[#This Row],[rides.ride_date]],2)</f>
        <v>3</v>
      </c>
    </row>
    <row r="18" spans="1:24" x14ac:dyDescent="0.25">
      <c r="A18">
        <v>5</v>
      </c>
      <c r="B18" s="1" t="s">
        <v>56</v>
      </c>
      <c r="C18" s="1" t="s">
        <v>47</v>
      </c>
      <c r="D18" s="1" t="s">
        <v>55</v>
      </c>
      <c r="E18">
        <v>2024</v>
      </c>
      <c r="F18">
        <v>23</v>
      </c>
      <c r="G18">
        <v>9</v>
      </c>
      <c r="H18">
        <v>23</v>
      </c>
      <c r="I18" s="2">
        <v>45736</v>
      </c>
      <c r="J18">
        <v>2</v>
      </c>
      <c r="K18" s="1" t="s">
        <v>28</v>
      </c>
      <c r="L18" s="1" t="s">
        <v>29</v>
      </c>
      <c r="M18">
        <v>45</v>
      </c>
      <c r="N18">
        <v>9</v>
      </c>
      <c r="O18" s="1" t="s">
        <v>40</v>
      </c>
      <c r="P18" s="1" t="s">
        <v>35</v>
      </c>
      <c r="Q18">
        <v>21</v>
      </c>
      <c r="R18">
        <v>23</v>
      </c>
      <c r="S18">
        <v>9.0299999999999994</v>
      </c>
      <c r="T18" s="1" t="s">
        <v>15</v>
      </c>
      <c r="U18" s="1" t="s">
        <v>6</v>
      </c>
      <c r="V18">
        <v>2019</v>
      </c>
      <c r="W18" s="1" t="s">
        <v>7</v>
      </c>
      <c r="X18" s="1">
        <f>WEEKDAY(tabela_cala[[#This Row],[rides.ride_date]],2)</f>
        <v>4</v>
      </c>
    </row>
    <row r="19" spans="1:24" x14ac:dyDescent="0.25">
      <c r="A19">
        <v>11</v>
      </c>
      <c r="B19" s="1" t="s">
        <v>64</v>
      </c>
      <c r="C19" s="1" t="s">
        <v>54</v>
      </c>
      <c r="D19" s="1" t="s">
        <v>48</v>
      </c>
      <c r="E19">
        <v>2025</v>
      </c>
      <c r="F19">
        <v>15</v>
      </c>
      <c r="G19">
        <v>9</v>
      </c>
      <c r="H19">
        <v>18</v>
      </c>
      <c r="I19" s="2">
        <v>45738</v>
      </c>
      <c r="J19">
        <v>10</v>
      </c>
      <c r="K19" s="1" t="s">
        <v>41</v>
      </c>
      <c r="L19" s="1" t="s">
        <v>33</v>
      </c>
      <c r="M19">
        <v>40</v>
      </c>
      <c r="N19">
        <v>9</v>
      </c>
      <c r="O19" s="1" t="s">
        <v>40</v>
      </c>
      <c r="P19" s="1" t="s">
        <v>35</v>
      </c>
      <c r="Q19">
        <v>21</v>
      </c>
      <c r="R19">
        <v>15</v>
      </c>
      <c r="S19">
        <v>3.87</v>
      </c>
      <c r="T19" s="1" t="s">
        <v>15</v>
      </c>
      <c r="U19" s="1" t="s">
        <v>6</v>
      </c>
      <c r="V19">
        <v>2019</v>
      </c>
      <c r="W19" s="1" t="s">
        <v>7</v>
      </c>
      <c r="X19" s="1">
        <f>WEEKDAY(tabela_cala[[#This Row],[rides.ride_date]],2)</f>
        <v>6</v>
      </c>
    </row>
    <row r="20" spans="1:24" x14ac:dyDescent="0.25">
      <c r="A20">
        <v>7</v>
      </c>
      <c r="B20" s="1" t="s">
        <v>59</v>
      </c>
      <c r="C20" s="1" t="s">
        <v>54</v>
      </c>
      <c r="D20" s="1" t="s">
        <v>52</v>
      </c>
      <c r="E20">
        <v>2021</v>
      </c>
      <c r="F20">
        <v>24</v>
      </c>
      <c r="G20">
        <v>9</v>
      </c>
      <c r="H20">
        <v>37</v>
      </c>
      <c r="I20" s="2">
        <v>45732</v>
      </c>
      <c r="J20">
        <v>4</v>
      </c>
      <c r="K20" s="1" t="s">
        <v>32</v>
      </c>
      <c r="L20" s="1" t="s">
        <v>33</v>
      </c>
      <c r="M20">
        <v>21</v>
      </c>
      <c r="N20">
        <v>6</v>
      </c>
      <c r="O20" s="1" t="s">
        <v>36</v>
      </c>
      <c r="P20" s="1" t="s">
        <v>37</v>
      </c>
      <c r="Q20">
        <v>42</v>
      </c>
      <c r="R20">
        <v>24</v>
      </c>
      <c r="S20">
        <v>5.05</v>
      </c>
      <c r="T20" s="1" t="s">
        <v>15</v>
      </c>
      <c r="U20" s="1" t="s">
        <v>6</v>
      </c>
      <c r="V20">
        <v>2019</v>
      </c>
      <c r="W20" s="1" t="s">
        <v>7</v>
      </c>
      <c r="X20" s="1">
        <f>WEEKDAY(tabela_cala[[#This Row],[rides.ride_date]],2)</f>
        <v>7</v>
      </c>
    </row>
    <row r="21" spans="1:24" x14ac:dyDescent="0.25">
      <c r="A21">
        <v>7</v>
      </c>
      <c r="B21" s="1" t="s">
        <v>59</v>
      </c>
      <c r="C21" s="1" t="s">
        <v>54</v>
      </c>
      <c r="D21" s="1" t="s">
        <v>52</v>
      </c>
      <c r="E21">
        <v>2021</v>
      </c>
      <c r="F21">
        <v>8</v>
      </c>
      <c r="G21">
        <v>10</v>
      </c>
      <c r="H21">
        <v>18</v>
      </c>
      <c r="I21" s="2">
        <v>45747</v>
      </c>
      <c r="J21">
        <v>8</v>
      </c>
      <c r="K21" s="1" t="s">
        <v>39</v>
      </c>
      <c r="L21" s="1" t="s">
        <v>35</v>
      </c>
      <c r="M21">
        <v>18</v>
      </c>
      <c r="N21">
        <v>3</v>
      </c>
      <c r="O21" s="1" t="s">
        <v>30</v>
      </c>
      <c r="P21" s="1" t="s">
        <v>31</v>
      </c>
      <c r="Q21">
        <v>27</v>
      </c>
      <c r="R21">
        <v>8</v>
      </c>
      <c r="S21">
        <v>6.96</v>
      </c>
      <c r="T21" s="1" t="s">
        <v>16</v>
      </c>
      <c r="U21" s="1" t="s">
        <v>9</v>
      </c>
      <c r="V21">
        <v>2023</v>
      </c>
      <c r="W21" s="1" t="s">
        <v>8</v>
      </c>
      <c r="X21" s="1">
        <f>WEEKDAY(tabela_cala[[#This Row],[rides.ride_date]],2)</f>
        <v>1</v>
      </c>
    </row>
    <row r="22" spans="1:24" x14ac:dyDescent="0.25">
      <c r="A22">
        <v>2</v>
      </c>
      <c r="B22" s="1" t="s">
        <v>49</v>
      </c>
      <c r="C22" s="1" t="s">
        <v>47</v>
      </c>
      <c r="D22" s="1" t="s">
        <v>50</v>
      </c>
      <c r="E22">
        <v>2024</v>
      </c>
      <c r="F22">
        <v>11</v>
      </c>
      <c r="G22">
        <v>17</v>
      </c>
      <c r="H22">
        <v>10</v>
      </c>
      <c r="I22" s="2">
        <v>45744</v>
      </c>
      <c r="J22">
        <v>9</v>
      </c>
      <c r="K22" s="1" t="s">
        <v>40</v>
      </c>
      <c r="L22" s="1" t="s">
        <v>35</v>
      </c>
      <c r="M22">
        <v>21</v>
      </c>
      <c r="N22">
        <v>3</v>
      </c>
      <c r="O22" s="1" t="s">
        <v>30</v>
      </c>
      <c r="P22" s="1" t="s">
        <v>31</v>
      </c>
      <c r="Q22">
        <v>27</v>
      </c>
      <c r="R22">
        <v>11</v>
      </c>
      <c r="S22">
        <v>3.64</v>
      </c>
      <c r="T22" s="1" t="s">
        <v>16</v>
      </c>
      <c r="U22" s="1" t="s">
        <v>4</v>
      </c>
      <c r="V22">
        <v>2020</v>
      </c>
      <c r="W22" s="1" t="s">
        <v>7</v>
      </c>
      <c r="X22" s="1">
        <f>WEEKDAY(tabela_cala[[#This Row],[rides.ride_date]],2)</f>
        <v>5</v>
      </c>
    </row>
    <row r="23" spans="1:24" x14ac:dyDescent="0.25">
      <c r="A23">
        <v>11</v>
      </c>
      <c r="B23" s="1" t="s">
        <v>64</v>
      </c>
      <c r="C23" s="1" t="s">
        <v>54</v>
      </c>
      <c r="D23" s="1" t="s">
        <v>48</v>
      </c>
      <c r="E23">
        <v>2025</v>
      </c>
      <c r="F23">
        <v>17</v>
      </c>
      <c r="G23">
        <v>3</v>
      </c>
      <c r="H23">
        <v>5</v>
      </c>
      <c r="I23" s="2">
        <v>45731</v>
      </c>
      <c r="J23">
        <v>5</v>
      </c>
      <c r="K23" s="1" t="s">
        <v>34</v>
      </c>
      <c r="L23" s="1" t="s">
        <v>35</v>
      </c>
      <c r="M23">
        <v>42</v>
      </c>
      <c r="N23">
        <v>8</v>
      </c>
      <c r="O23" s="1" t="s">
        <v>39</v>
      </c>
      <c r="P23" s="1" t="s">
        <v>35</v>
      </c>
      <c r="Q23">
        <v>18</v>
      </c>
      <c r="R23">
        <v>17</v>
      </c>
      <c r="S23">
        <v>12.16</v>
      </c>
      <c r="T23" s="1" t="s">
        <v>14</v>
      </c>
      <c r="U23" s="1" t="s">
        <v>4</v>
      </c>
      <c r="V23">
        <v>2017</v>
      </c>
      <c r="W23" s="1" t="s">
        <v>7</v>
      </c>
      <c r="X23" s="1">
        <f>WEEKDAY(tabela_cala[[#This Row],[rides.ride_date]],2)</f>
        <v>6</v>
      </c>
    </row>
    <row r="24" spans="1:24" x14ac:dyDescent="0.25">
      <c r="A24">
        <v>10</v>
      </c>
      <c r="B24" s="1" t="s">
        <v>63</v>
      </c>
      <c r="C24" s="1" t="s">
        <v>54</v>
      </c>
      <c r="D24" s="1" t="s">
        <v>58</v>
      </c>
      <c r="E24">
        <v>2023</v>
      </c>
      <c r="F24">
        <v>20</v>
      </c>
      <c r="G24">
        <v>6</v>
      </c>
      <c r="H24">
        <v>33</v>
      </c>
      <c r="I24" s="2">
        <v>45743</v>
      </c>
      <c r="J24">
        <v>4</v>
      </c>
      <c r="K24" s="1" t="s">
        <v>32</v>
      </c>
      <c r="L24" s="1" t="s">
        <v>33</v>
      </c>
      <c r="M24">
        <v>21</v>
      </c>
      <c r="N24">
        <v>6</v>
      </c>
      <c r="O24" s="1" t="s">
        <v>36</v>
      </c>
      <c r="P24" s="1" t="s">
        <v>37</v>
      </c>
      <c r="Q24">
        <v>42</v>
      </c>
      <c r="R24">
        <v>20</v>
      </c>
      <c r="S24">
        <v>10.77</v>
      </c>
      <c r="T24" s="1" t="s">
        <v>14</v>
      </c>
      <c r="U24" s="1" t="s">
        <v>4</v>
      </c>
      <c r="V24">
        <v>2018</v>
      </c>
      <c r="W24" s="1" t="s">
        <v>7</v>
      </c>
      <c r="X24" s="1">
        <f>WEEKDAY(tabela_cala[[#This Row],[rides.ride_date]],2)</f>
        <v>4</v>
      </c>
    </row>
    <row r="25" spans="1:24" x14ac:dyDescent="0.25">
      <c r="A25">
        <v>30</v>
      </c>
      <c r="B25" s="1" t="s">
        <v>86</v>
      </c>
      <c r="C25" s="1" t="s">
        <v>47</v>
      </c>
      <c r="D25" s="1" t="s">
        <v>48</v>
      </c>
      <c r="E25">
        <v>2023</v>
      </c>
      <c r="F25">
        <v>19</v>
      </c>
      <c r="G25">
        <v>12</v>
      </c>
      <c r="H25">
        <v>9</v>
      </c>
      <c r="I25" s="2">
        <v>45745</v>
      </c>
      <c r="J25">
        <v>5</v>
      </c>
      <c r="K25" s="1" t="s">
        <v>34</v>
      </c>
      <c r="L25" s="1" t="s">
        <v>35</v>
      </c>
      <c r="M25">
        <v>42</v>
      </c>
      <c r="N25">
        <v>3</v>
      </c>
      <c r="O25" s="1" t="s">
        <v>30</v>
      </c>
      <c r="P25" s="1" t="s">
        <v>31</v>
      </c>
      <c r="Q25">
        <v>27</v>
      </c>
      <c r="R25">
        <v>19</v>
      </c>
      <c r="S25">
        <v>3.04</v>
      </c>
      <c r="T25" s="1" t="s">
        <v>14</v>
      </c>
      <c r="U25" s="1" t="s">
        <v>6</v>
      </c>
      <c r="V25">
        <v>2022</v>
      </c>
      <c r="W25" s="1" t="s">
        <v>7</v>
      </c>
      <c r="X25" s="1">
        <f>WEEKDAY(tabela_cala[[#This Row],[rides.ride_date]],2)</f>
        <v>6</v>
      </c>
    </row>
    <row r="26" spans="1:24" x14ac:dyDescent="0.25">
      <c r="A26">
        <v>20</v>
      </c>
      <c r="B26" s="1" t="s">
        <v>75</v>
      </c>
      <c r="C26" s="1" t="s">
        <v>72</v>
      </c>
      <c r="D26" s="1" t="s">
        <v>50</v>
      </c>
      <c r="E26">
        <v>2020</v>
      </c>
      <c r="F26">
        <v>21</v>
      </c>
      <c r="G26">
        <v>17</v>
      </c>
      <c r="H26">
        <v>5</v>
      </c>
      <c r="I26" s="2">
        <v>45738</v>
      </c>
      <c r="J26">
        <v>9</v>
      </c>
      <c r="K26" s="1" t="s">
        <v>40</v>
      </c>
      <c r="L26" s="1" t="s">
        <v>35</v>
      </c>
      <c r="M26">
        <v>21</v>
      </c>
      <c r="N26">
        <v>5</v>
      </c>
      <c r="O26" s="1" t="s">
        <v>34</v>
      </c>
      <c r="P26" s="1" t="s">
        <v>35</v>
      </c>
      <c r="Q26">
        <v>42</v>
      </c>
      <c r="R26">
        <v>21</v>
      </c>
      <c r="S26">
        <v>14.4</v>
      </c>
      <c r="T26" s="1" t="s">
        <v>15</v>
      </c>
      <c r="U26" s="1" t="s">
        <v>4</v>
      </c>
      <c r="V26">
        <v>2020</v>
      </c>
      <c r="W26" s="1" t="s">
        <v>7</v>
      </c>
      <c r="X26" s="1">
        <f>WEEKDAY(tabela_cala[[#This Row],[rides.ride_date]],2)</f>
        <v>6</v>
      </c>
    </row>
    <row r="27" spans="1:24" x14ac:dyDescent="0.25">
      <c r="A27">
        <v>12</v>
      </c>
      <c r="B27" s="1" t="s">
        <v>65</v>
      </c>
      <c r="C27" s="1" t="s">
        <v>47</v>
      </c>
      <c r="D27" s="1" t="s">
        <v>55</v>
      </c>
      <c r="E27">
        <v>2024</v>
      </c>
      <c r="F27">
        <v>31</v>
      </c>
      <c r="G27">
        <v>18</v>
      </c>
      <c r="H27">
        <v>60</v>
      </c>
      <c r="I27" s="2">
        <v>45730</v>
      </c>
      <c r="J27">
        <v>4</v>
      </c>
      <c r="K27" s="1" t="s">
        <v>32</v>
      </c>
      <c r="L27" s="1" t="s">
        <v>33</v>
      </c>
      <c r="M27">
        <v>21</v>
      </c>
      <c r="N27">
        <v>2</v>
      </c>
      <c r="O27" s="1" t="s">
        <v>28</v>
      </c>
      <c r="P27" s="1" t="s">
        <v>29</v>
      </c>
      <c r="Q27">
        <v>45</v>
      </c>
      <c r="R27">
        <v>31</v>
      </c>
      <c r="S27">
        <v>6.66</v>
      </c>
      <c r="T27" s="1" t="s">
        <v>14</v>
      </c>
      <c r="U27" s="1" t="s">
        <v>4</v>
      </c>
      <c r="V27">
        <v>2022</v>
      </c>
      <c r="W27" s="1" t="s">
        <v>7</v>
      </c>
      <c r="X27" s="1">
        <f>WEEKDAY(tabela_cala[[#This Row],[rides.ride_date]],2)</f>
        <v>5</v>
      </c>
    </row>
    <row r="28" spans="1:24" x14ac:dyDescent="0.25">
      <c r="A28">
        <v>30</v>
      </c>
      <c r="B28" s="1" t="s">
        <v>86</v>
      </c>
      <c r="C28" s="1" t="s">
        <v>47</v>
      </c>
      <c r="D28" s="1" t="s">
        <v>48</v>
      </c>
      <c r="E28">
        <v>2023</v>
      </c>
      <c r="F28">
        <v>22</v>
      </c>
      <c r="G28">
        <v>4</v>
      </c>
      <c r="H28">
        <v>13</v>
      </c>
      <c r="I28" s="2">
        <v>45725</v>
      </c>
      <c r="J28">
        <v>9</v>
      </c>
      <c r="K28" s="1" t="s">
        <v>40</v>
      </c>
      <c r="L28" s="1" t="s">
        <v>35</v>
      </c>
      <c r="M28">
        <v>21</v>
      </c>
      <c r="N28">
        <v>5</v>
      </c>
      <c r="O28" s="1" t="s">
        <v>34</v>
      </c>
      <c r="P28" s="1" t="s">
        <v>35</v>
      </c>
      <c r="Q28">
        <v>42</v>
      </c>
      <c r="R28">
        <v>22</v>
      </c>
      <c r="S28">
        <v>13.54</v>
      </c>
      <c r="T28" s="1" t="s">
        <v>14</v>
      </c>
      <c r="U28" s="1" t="s">
        <v>6</v>
      </c>
      <c r="V28">
        <v>2017</v>
      </c>
      <c r="W28" s="1" t="s">
        <v>7</v>
      </c>
      <c r="X28" s="1">
        <f>WEEKDAY(tabela_cala[[#This Row],[rides.ride_date]],2)</f>
        <v>7</v>
      </c>
    </row>
    <row r="29" spans="1:24" x14ac:dyDescent="0.25">
      <c r="A29">
        <v>18</v>
      </c>
      <c r="B29" s="1" t="s">
        <v>71</v>
      </c>
      <c r="C29" s="1" t="s">
        <v>72</v>
      </c>
      <c r="D29" s="1" t="s">
        <v>55</v>
      </c>
      <c r="E29">
        <v>2024</v>
      </c>
      <c r="F29">
        <v>27</v>
      </c>
      <c r="G29">
        <v>14</v>
      </c>
      <c r="H29">
        <v>40</v>
      </c>
      <c r="I29" s="2">
        <v>45717</v>
      </c>
      <c r="J29">
        <v>3</v>
      </c>
      <c r="K29" s="1" t="s">
        <v>30</v>
      </c>
      <c r="L29" s="1" t="s">
        <v>31</v>
      </c>
      <c r="M29">
        <v>27</v>
      </c>
      <c r="N29">
        <v>8</v>
      </c>
      <c r="O29" s="1" t="s">
        <v>39</v>
      </c>
      <c r="P29" s="1" t="s">
        <v>35</v>
      </c>
      <c r="Q29">
        <v>18</v>
      </c>
      <c r="R29">
        <v>27</v>
      </c>
      <c r="S29">
        <v>11.88</v>
      </c>
      <c r="T29" s="1" t="s">
        <v>15</v>
      </c>
      <c r="U29" s="1" t="s">
        <v>4</v>
      </c>
      <c r="V29">
        <v>2018</v>
      </c>
      <c r="W29" s="1" t="s">
        <v>7</v>
      </c>
      <c r="X29" s="1">
        <f>WEEKDAY(tabela_cala[[#This Row],[rides.ride_date]],2)</f>
        <v>6</v>
      </c>
    </row>
    <row r="30" spans="1:24" x14ac:dyDescent="0.25">
      <c r="A30">
        <v>25</v>
      </c>
      <c r="B30" s="1" t="s">
        <v>81</v>
      </c>
      <c r="C30" s="1" t="s">
        <v>54</v>
      </c>
      <c r="D30" s="1" t="s">
        <v>50</v>
      </c>
      <c r="E30">
        <v>2020</v>
      </c>
      <c r="F30">
        <v>26</v>
      </c>
      <c r="G30">
        <v>5</v>
      </c>
      <c r="H30">
        <v>45</v>
      </c>
      <c r="I30" s="2">
        <v>45725</v>
      </c>
      <c r="J30">
        <v>1</v>
      </c>
      <c r="K30" s="1" t="s">
        <v>26</v>
      </c>
      <c r="L30" s="1" t="s">
        <v>27</v>
      </c>
      <c r="M30">
        <v>45</v>
      </c>
      <c r="N30">
        <v>6</v>
      </c>
      <c r="O30" s="1" t="s">
        <v>36</v>
      </c>
      <c r="P30" s="1" t="s">
        <v>37</v>
      </c>
      <c r="Q30">
        <v>42</v>
      </c>
      <c r="R30">
        <v>26</v>
      </c>
      <c r="S30">
        <v>3.17</v>
      </c>
      <c r="T30" s="1" t="s">
        <v>16</v>
      </c>
      <c r="U30" s="1" t="s">
        <v>6</v>
      </c>
      <c r="V30">
        <v>2021</v>
      </c>
      <c r="W30" s="1" t="s">
        <v>7</v>
      </c>
      <c r="X30" s="1">
        <f>WEEKDAY(tabela_cala[[#This Row],[rides.ride_date]],2)</f>
        <v>7</v>
      </c>
    </row>
    <row r="31" spans="1:24" x14ac:dyDescent="0.25">
      <c r="A31">
        <v>18</v>
      </c>
      <c r="B31" s="1" t="s">
        <v>71</v>
      </c>
      <c r="C31" s="1" t="s">
        <v>72</v>
      </c>
      <c r="D31" s="1" t="s">
        <v>55</v>
      </c>
      <c r="E31">
        <v>2024</v>
      </c>
      <c r="F31">
        <v>28</v>
      </c>
      <c r="G31">
        <v>2</v>
      </c>
      <c r="H31">
        <v>58</v>
      </c>
      <c r="I31" s="2">
        <v>45728</v>
      </c>
      <c r="J31">
        <v>2</v>
      </c>
      <c r="K31" s="1" t="s">
        <v>28</v>
      </c>
      <c r="L31" s="1" t="s">
        <v>29</v>
      </c>
      <c r="M31">
        <v>45</v>
      </c>
      <c r="N31">
        <v>3</v>
      </c>
      <c r="O31" s="1" t="s">
        <v>30</v>
      </c>
      <c r="P31" s="1" t="s">
        <v>31</v>
      </c>
      <c r="Q31">
        <v>27</v>
      </c>
      <c r="R31">
        <v>28</v>
      </c>
      <c r="S31">
        <v>3.31</v>
      </c>
      <c r="T31" s="1" t="s">
        <v>14</v>
      </c>
      <c r="U31" s="1" t="s">
        <v>6</v>
      </c>
      <c r="V31">
        <v>2020</v>
      </c>
      <c r="W31" s="1" t="s">
        <v>7</v>
      </c>
      <c r="X31" s="1">
        <f>WEEKDAY(tabela_cala[[#This Row],[rides.ride_date]],2)</f>
        <v>3</v>
      </c>
    </row>
    <row r="32" spans="1:24" x14ac:dyDescent="0.25">
      <c r="A32">
        <v>29</v>
      </c>
      <c r="B32" s="1" t="s">
        <v>85</v>
      </c>
      <c r="C32" s="1" t="s">
        <v>72</v>
      </c>
      <c r="D32" s="1" t="s">
        <v>52</v>
      </c>
      <c r="E32">
        <v>2020</v>
      </c>
      <c r="F32">
        <v>30</v>
      </c>
      <c r="G32">
        <v>2</v>
      </c>
      <c r="H32">
        <v>27</v>
      </c>
      <c r="I32" s="2">
        <v>45723</v>
      </c>
      <c r="J32">
        <v>5</v>
      </c>
      <c r="K32" s="1" t="s">
        <v>34</v>
      </c>
      <c r="L32" s="1" t="s">
        <v>35</v>
      </c>
      <c r="M32">
        <v>42</v>
      </c>
      <c r="N32">
        <v>6</v>
      </c>
      <c r="O32" s="1" t="s">
        <v>36</v>
      </c>
      <c r="P32" s="1" t="s">
        <v>37</v>
      </c>
      <c r="Q32">
        <v>42</v>
      </c>
      <c r="R32">
        <v>30</v>
      </c>
      <c r="S32">
        <v>6.22</v>
      </c>
      <c r="T32" s="1" t="s">
        <v>14</v>
      </c>
      <c r="U32" s="1" t="s">
        <v>6</v>
      </c>
      <c r="V32">
        <v>2020</v>
      </c>
      <c r="W32" s="1" t="s">
        <v>7</v>
      </c>
      <c r="X32" s="1">
        <f>WEEKDAY(tabela_cala[[#This Row],[rides.ride_date]],2)</f>
        <v>5</v>
      </c>
    </row>
    <row r="33" spans="1:24" x14ac:dyDescent="0.25">
      <c r="A33">
        <v>30</v>
      </c>
      <c r="B33" s="1" t="s">
        <v>86</v>
      </c>
      <c r="C33" s="1" t="s">
        <v>47</v>
      </c>
      <c r="D33" s="1" t="s">
        <v>48</v>
      </c>
      <c r="E33">
        <v>2023</v>
      </c>
      <c r="F33">
        <v>32</v>
      </c>
      <c r="G33">
        <v>8</v>
      </c>
      <c r="H33">
        <v>60</v>
      </c>
      <c r="I33" s="2">
        <v>45722</v>
      </c>
      <c r="J33">
        <v>10</v>
      </c>
      <c r="K33" s="1" t="s">
        <v>41</v>
      </c>
      <c r="L33" s="1" t="s">
        <v>33</v>
      </c>
      <c r="M33">
        <v>40</v>
      </c>
      <c r="N33">
        <v>3</v>
      </c>
      <c r="O33" s="1" t="s">
        <v>30</v>
      </c>
      <c r="P33" s="1" t="s">
        <v>31</v>
      </c>
      <c r="Q33">
        <v>27</v>
      </c>
      <c r="R33">
        <v>32</v>
      </c>
      <c r="S33">
        <v>5.17</v>
      </c>
      <c r="T33" s="1" t="s">
        <v>14</v>
      </c>
      <c r="U33" s="1" t="s">
        <v>9</v>
      </c>
      <c r="V33">
        <v>2019</v>
      </c>
      <c r="W33" s="1" t="s">
        <v>7</v>
      </c>
      <c r="X33" s="1">
        <f>WEEKDAY(tabela_cala[[#This Row],[rides.ride_date]],2)</f>
        <v>4</v>
      </c>
    </row>
    <row r="34" spans="1:24" x14ac:dyDescent="0.25">
      <c r="A34">
        <v>1</v>
      </c>
      <c r="B34" s="1" t="s">
        <v>46</v>
      </c>
      <c r="C34" s="1" t="s">
        <v>47</v>
      </c>
      <c r="D34" s="1" t="s">
        <v>48</v>
      </c>
      <c r="E34">
        <v>2020</v>
      </c>
      <c r="F34">
        <v>33</v>
      </c>
      <c r="G34">
        <v>6</v>
      </c>
      <c r="H34">
        <v>52</v>
      </c>
      <c r="I34" s="2">
        <v>45746</v>
      </c>
      <c r="J34">
        <v>3</v>
      </c>
      <c r="K34" s="1" t="s">
        <v>30</v>
      </c>
      <c r="L34" s="1" t="s">
        <v>31</v>
      </c>
      <c r="M34">
        <v>27</v>
      </c>
      <c r="N34">
        <v>7</v>
      </c>
      <c r="O34" s="1" t="s">
        <v>38</v>
      </c>
      <c r="P34" s="1" t="s">
        <v>31</v>
      </c>
      <c r="Q34">
        <v>44</v>
      </c>
      <c r="R34">
        <v>33</v>
      </c>
      <c r="S34">
        <v>10.86</v>
      </c>
      <c r="T34" s="1" t="s">
        <v>14</v>
      </c>
      <c r="U34" s="1" t="s">
        <v>4</v>
      </c>
      <c r="V34">
        <v>2018</v>
      </c>
      <c r="W34" s="1" t="s">
        <v>7</v>
      </c>
      <c r="X34" s="1">
        <f>WEEKDAY(tabela_cala[[#This Row],[rides.ride_date]],2)</f>
        <v>7</v>
      </c>
    </row>
    <row r="35" spans="1:24" x14ac:dyDescent="0.25">
      <c r="A35">
        <v>26</v>
      </c>
      <c r="B35" s="1" t="s">
        <v>82</v>
      </c>
      <c r="C35" s="1" t="s">
        <v>47</v>
      </c>
      <c r="D35" s="1" t="s">
        <v>50</v>
      </c>
      <c r="E35">
        <v>2022</v>
      </c>
      <c r="F35">
        <v>34</v>
      </c>
      <c r="G35">
        <v>8</v>
      </c>
      <c r="H35">
        <v>22</v>
      </c>
      <c r="I35" s="2">
        <v>45722</v>
      </c>
      <c r="J35">
        <v>6</v>
      </c>
      <c r="K35" s="1" t="s">
        <v>36</v>
      </c>
      <c r="L35" s="1" t="s">
        <v>37</v>
      </c>
      <c r="M35">
        <v>42</v>
      </c>
      <c r="N35">
        <v>7</v>
      </c>
      <c r="O35" s="1" t="s">
        <v>38</v>
      </c>
      <c r="P35" s="1" t="s">
        <v>31</v>
      </c>
      <c r="Q35">
        <v>44</v>
      </c>
      <c r="R35">
        <v>34</v>
      </c>
      <c r="S35">
        <v>4.28</v>
      </c>
      <c r="T35" s="1" t="s">
        <v>15</v>
      </c>
      <c r="U35" s="1" t="s">
        <v>9</v>
      </c>
      <c r="V35">
        <v>2019</v>
      </c>
      <c r="W35" s="1" t="s">
        <v>7</v>
      </c>
      <c r="X35" s="1">
        <f>WEEKDAY(tabela_cala[[#This Row],[rides.ride_date]],2)</f>
        <v>4</v>
      </c>
    </row>
    <row r="36" spans="1:24" x14ac:dyDescent="0.25">
      <c r="A36">
        <v>28</v>
      </c>
      <c r="B36" s="1" t="s">
        <v>84</v>
      </c>
      <c r="C36" s="1" t="s">
        <v>47</v>
      </c>
      <c r="D36" s="1" t="s">
        <v>48</v>
      </c>
      <c r="E36">
        <v>2025</v>
      </c>
      <c r="F36">
        <v>35</v>
      </c>
      <c r="G36">
        <v>2</v>
      </c>
      <c r="H36">
        <v>59</v>
      </c>
      <c r="I36" s="2">
        <v>45732</v>
      </c>
      <c r="J36">
        <v>2</v>
      </c>
      <c r="K36" s="1" t="s">
        <v>28</v>
      </c>
      <c r="L36" s="1" t="s">
        <v>29</v>
      </c>
      <c r="M36">
        <v>45</v>
      </c>
      <c r="N36">
        <v>7</v>
      </c>
      <c r="O36" s="1" t="s">
        <v>38</v>
      </c>
      <c r="P36" s="1" t="s">
        <v>31</v>
      </c>
      <c r="Q36">
        <v>44</v>
      </c>
      <c r="R36">
        <v>35</v>
      </c>
      <c r="S36">
        <v>6.97</v>
      </c>
      <c r="T36" s="1" t="s">
        <v>15</v>
      </c>
      <c r="U36" s="1" t="s">
        <v>6</v>
      </c>
      <c r="V36">
        <v>2020</v>
      </c>
      <c r="W36" s="1" t="s">
        <v>7</v>
      </c>
      <c r="X36" s="1">
        <f>WEEKDAY(tabela_cala[[#This Row],[rides.ride_date]],2)</f>
        <v>7</v>
      </c>
    </row>
    <row r="37" spans="1:24" x14ac:dyDescent="0.25">
      <c r="A37">
        <v>12</v>
      </c>
      <c r="B37" s="1" t="s">
        <v>65</v>
      </c>
      <c r="C37" s="1" t="s">
        <v>47</v>
      </c>
      <c r="D37" s="1" t="s">
        <v>55</v>
      </c>
      <c r="E37">
        <v>2024</v>
      </c>
      <c r="F37">
        <v>36</v>
      </c>
      <c r="G37">
        <v>10</v>
      </c>
      <c r="H37">
        <v>57</v>
      </c>
      <c r="I37" s="2">
        <v>45742</v>
      </c>
      <c r="J37">
        <v>4</v>
      </c>
      <c r="K37" s="1" t="s">
        <v>32</v>
      </c>
      <c r="L37" s="1" t="s">
        <v>33</v>
      </c>
      <c r="M37">
        <v>21</v>
      </c>
      <c r="N37">
        <v>8</v>
      </c>
      <c r="O37" s="1" t="s">
        <v>39</v>
      </c>
      <c r="P37" s="1" t="s">
        <v>35</v>
      </c>
      <c r="Q37">
        <v>18</v>
      </c>
      <c r="R37">
        <v>36</v>
      </c>
      <c r="S37">
        <v>8.4700000000000006</v>
      </c>
      <c r="T37" s="1" t="s">
        <v>14</v>
      </c>
      <c r="U37" s="1" t="s">
        <v>9</v>
      </c>
      <c r="V37">
        <v>2023</v>
      </c>
      <c r="W37" s="1" t="s">
        <v>8</v>
      </c>
      <c r="X37" s="1">
        <f>WEEKDAY(tabela_cala[[#This Row],[rides.ride_date]],2)</f>
        <v>3</v>
      </c>
    </row>
    <row r="38" spans="1:24" x14ac:dyDescent="0.25">
      <c r="A38">
        <v>22</v>
      </c>
      <c r="B38" s="1" t="s">
        <v>77</v>
      </c>
      <c r="C38" s="1" t="s">
        <v>72</v>
      </c>
      <c r="D38" s="1" t="s">
        <v>78</v>
      </c>
      <c r="E38">
        <v>2020</v>
      </c>
      <c r="F38">
        <v>37</v>
      </c>
      <c r="G38">
        <v>7</v>
      </c>
      <c r="H38">
        <v>30</v>
      </c>
      <c r="I38" s="2">
        <v>45727</v>
      </c>
      <c r="J38">
        <v>4</v>
      </c>
      <c r="K38" s="1" t="s">
        <v>32</v>
      </c>
      <c r="L38" s="1" t="s">
        <v>33</v>
      </c>
      <c r="M38">
        <v>21</v>
      </c>
      <c r="N38">
        <v>1</v>
      </c>
      <c r="O38" s="1" t="s">
        <v>26</v>
      </c>
      <c r="P38" s="1" t="s">
        <v>27</v>
      </c>
      <c r="Q38">
        <v>45</v>
      </c>
      <c r="R38">
        <v>37</v>
      </c>
      <c r="S38">
        <v>5.0199999999999996</v>
      </c>
      <c r="T38" s="1" t="s">
        <v>15</v>
      </c>
      <c r="U38" s="1" t="s">
        <v>6</v>
      </c>
      <c r="V38">
        <v>2018</v>
      </c>
      <c r="W38" s="1" t="s">
        <v>8</v>
      </c>
      <c r="X38" s="1">
        <f>WEEKDAY(tabela_cala[[#This Row],[rides.ride_date]],2)</f>
        <v>2</v>
      </c>
    </row>
    <row r="39" spans="1:24" x14ac:dyDescent="0.25">
      <c r="A39">
        <v>25</v>
      </c>
      <c r="B39" s="1" t="s">
        <v>81</v>
      </c>
      <c r="C39" s="1" t="s">
        <v>54</v>
      </c>
      <c r="D39" s="1" t="s">
        <v>50</v>
      </c>
      <c r="E39">
        <v>2020</v>
      </c>
      <c r="F39">
        <v>38</v>
      </c>
      <c r="G39">
        <v>9</v>
      </c>
      <c r="H39">
        <v>27</v>
      </c>
      <c r="I39" s="2">
        <v>45737</v>
      </c>
      <c r="J39">
        <v>5</v>
      </c>
      <c r="K39" s="1" t="s">
        <v>34</v>
      </c>
      <c r="L39" s="1" t="s">
        <v>35</v>
      </c>
      <c r="M39">
        <v>42</v>
      </c>
      <c r="N39">
        <v>2</v>
      </c>
      <c r="O39" s="1" t="s">
        <v>28</v>
      </c>
      <c r="P39" s="1" t="s">
        <v>29</v>
      </c>
      <c r="Q39">
        <v>45</v>
      </c>
      <c r="R39">
        <v>38</v>
      </c>
      <c r="S39">
        <v>7.97</v>
      </c>
      <c r="T39" s="1" t="s">
        <v>15</v>
      </c>
      <c r="U39" s="1" t="s">
        <v>6</v>
      </c>
      <c r="V39">
        <v>2019</v>
      </c>
      <c r="W39" s="1" t="s">
        <v>7</v>
      </c>
      <c r="X39" s="1">
        <f>WEEKDAY(tabela_cala[[#This Row],[rides.ride_date]],2)</f>
        <v>5</v>
      </c>
    </row>
    <row r="40" spans="1:24" x14ac:dyDescent="0.25">
      <c r="A40">
        <v>22</v>
      </c>
      <c r="B40" s="1" t="s">
        <v>77</v>
      </c>
      <c r="C40" s="1" t="s">
        <v>72</v>
      </c>
      <c r="D40" s="1" t="s">
        <v>78</v>
      </c>
      <c r="E40">
        <v>2020</v>
      </c>
      <c r="F40">
        <v>39</v>
      </c>
      <c r="G40">
        <v>18</v>
      </c>
      <c r="H40">
        <v>26</v>
      </c>
      <c r="I40" s="2">
        <v>45747</v>
      </c>
      <c r="J40">
        <v>9</v>
      </c>
      <c r="K40" s="1" t="s">
        <v>40</v>
      </c>
      <c r="L40" s="1" t="s">
        <v>35</v>
      </c>
      <c r="M40">
        <v>21</v>
      </c>
      <c r="N40">
        <v>7</v>
      </c>
      <c r="O40" s="1" t="s">
        <v>38</v>
      </c>
      <c r="P40" s="1" t="s">
        <v>31</v>
      </c>
      <c r="Q40">
        <v>44</v>
      </c>
      <c r="R40">
        <v>39</v>
      </c>
      <c r="S40">
        <v>13.69</v>
      </c>
      <c r="T40" s="1" t="s">
        <v>14</v>
      </c>
      <c r="U40" s="1" t="s">
        <v>4</v>
      </c>
      <c r="V40">
        <v>2022</v>
      </c>
      <c r="W40" s="1" t="s">
        <v>7</v>
      </c>
      <c r="X40" s="1">
        <f>WEEKDAY(tabela_cala[[#This Row],[rides.ride_date]],2)</f>
        <v>1</v>
      </c>
    </row>
    <row r="41" spans="1:24" x14ac:dyDescent="0.25">
      <c r="A41">
        <v>29</v>
      </c>
      <c r="B41" s="1" t="s">
        <v>85</v>
      </c>
      <c r="C41" s="1" t="s">
        <v>72</v>
      </c>
      <c r="D41" s="1" t="s">
        <v>52</v>
      </c>
      <c r="E41">
        <v>2020</v>
      </c>
      <c r="F41">
        <v>40</v>
      </c>
      <c r="G41">
        <v>9</v>
      </c>
      <c r="H41">
        <v>16</v>
      </c>
      <c r="I41" s="2">
        <v>45735</v>
      </c>
      <c r="J41">
        <v>1</v>
      </c>
      <c r="K41" s="1" t="s">
        <v>26</v>
      </c>
      <c r="L41" s="1" t="s">
        <v>27</v>
      </c>
      <c r="M41">
        <v>45</v>
      </c>
      <c r="N41">
        <v>2</v>
      </c>
      <c r="O41" s="1" t="s">
        <v>28</v>
      </c>
      <c r="P41" s="1" t="s">
        <v>29</v>
      </c>
      <c r="Q41">
        <v>45</v>
      </c>
      <c r="R41">
        <v>40</v>
      </c>
      <c r="S41">
        <v>5.74</v>
      </c>
      <c r="T41" s="1" t="s">
        <v>14</v>
      </c>
      <c r="U41" s="1" t="s">
        <v>6</v>
      </c>
      <c r="V41">
        <v>2019</v>
      </c>
      <c r="W41" s="1" t="s">
        <v>7</v>
      </c>
      <c r="X41" s="1">
        <f>WEEKDAY(tabela_cala[[#This Row],[rides.ride_date]],2)</f>
        <v>3</v>
      </c>
    </row>
    <row r="42" spans="1:24" x14ac:dyDescent="0.25">
      <c r="A42">
        <v>4</v>
      </c>
      <c r="B42" s="1" t="s">
        <v>53</v>
      </c>
      <c r="C42" s="1" t="s">
        <v>54</v>
      </c>
      <c r="D42" s="1" t="s">
        <v>55</v>
      </c>
      <c r="E42">
        <v>2023</v>
      </c>
      <c r="F42">
        <v>41</v>
      </c>
      <c r="G42">
        <v>20</v>
      </c>
      <c r="H42">
        <v>32</v>
      </c>
      <c r="I42" s="2">
        <v>45728</v>
      </c>
      <c r="J42">
        <v>5</v>
      </c>
      <c r="K42" s="1" t="s">
        <v>34</v>
      </c>
      <c r="L42" s="1" t="s">
        <v>35</v>
      </c>
      <c r="M42">
        <v>42</v>
      </c>
      <c r="N42">
        <v>1</v>
      </c>
      <c r="O42" s="1" t="s">
        <v>26</v>
      </c>
      <c r="P42" s="1" t="s">
        <v>27</v>
      </c>
      <c r="Q42">
        <v>45</v>
      </c>
      <c r="R42">
        <v>41</v>
      </c>
      <c r="S42">
        <v>2.96</v>
      </c>
      <c r="T42" s="1" t="s">
        <v>16</v>
      </c>
      <c r="U42" s="1" t="s">
        <v>4</v>
      </c>
      <c r="V42">
        <v>2019</v>
      </c>
      <c r="W42" s="1" t="s">
        <v>5</v>
      </c>
      <c r="X42" s="1">
        <f>WEEKDAY(tabela_cala[[#This Row],[rides.ride_date]],2)</f>
        <v>3</v>
      </c>
    </row>
    <row r="43" spans="1:24" x14ac:dyDescent="0.25">
      <c r="A43">
        <v>20</v>
      </c>
      <c r="B43" s="1" t="s">
        <v>75</v>
      </c>
      <c r="C43" s="1" t="s">
        <v>72</v>
      </c>
      <c r="D43" s="1" t="s">
        <v>50</v>
      </c>
      <c r="E43">
        <v>2020</v>
      </c>
      <c r="F43">
        <v>42</v>
      </c>
      <c r="G43">
        <v>17</v>
      </c>
      <c r="H43">
        <v>12</v>
      </c>
      <c r="I43" s="2">
        <v>45729</v>
      </c>
      <c r="J43">
        <v>6</v>
      </c>
      <c r="K43" s="1" t="s">
        <v>36</v>
      </c>
      <c r="L43" s="1" t="s">
        <v>37</v>
      </c>
      <c r="M43">
        <v>42</v>
      </c>
      <c r="N43">
        <v>7</v>
      </c>
      <c r="O43" s="1" t="s">
        <v>38</v>
      </c>
      <c r="P43" s="1" t="s">
        <v>31</v>
      </c>
      <c r="Q43">
        <v>44</v>
      </c>
      <c r="R43">
        <v>42</v>
      </c>
      <c r="S43">
        <v>14.84</v>
      </c>
      <c r="T43" s="1" t="s">
        <v>14</v>
      </c>
      <c r="U43" s="1" t="s">
        <v>4</v>
      </c>
      <c r="V43">
        <v>2020</v>
      </c>
      <c r="W43" s="1" t="s">
        <v>7</v>
      </c>
      <c r="X43" s="1">
        <f>WEEKDAY(tabela_cala[[#This Row],[rides.ride_date]],2)</f>
        <v>4</v>
      </c>
    </row>
    <row r="44" spans="1:24" x14ac:dyDescent="0.25">
      <c r="A44">
        <v>9</v>
      </c>
      <c r="B44" s="1" t="s">
        <v>62</v>
      </c>
      <c r="C44" s="1" t="s">
        <v>54</v>
      </c>
      <c r="D44" s="1" t="s">
        <v>61</v>
      </c>
      <c r="E44">
        <v>2025</v>
      </c>
      <c r="F44">
        <v>43</v>
      </c>
      <c r="G44">
        <v>2</v>
      </c>
      <c r="H44">
        <v>50</v>
      </c>
      <c r="I44" s="2">
        <v>45730</v>
      </c>
      <c r="J44">
        <v>10</v>
      </c>
      <c r="K44" s="1" t="s">
        <v>41</v>
      </c>
      <c r="L44" s="1" t="s">
        <v>33</v>
      </c>
      <c r="M44">
        <v>40</v>
      </c>
      <c r="N44">
        <v>4</v>
      </c>
      <c r="O44" s="1" t="s">
        <v>32</v>
      </c>
      <c r="P44" s="1" t="s">
        <v>33</v>
      </c>
      <c r="Q44">
        <v>21</v>
      </c>
      <c r="R44">
        <v>43</v>
      </c>
      <c r="S44">
        <v>14.51</v>
      </c>
      <c r="T44" s="1" t="s">
        <v>15</v>
      </c>
      <c r="U44" s="1" t="s">
        <v>6</v>
      </c>
      <c r="V44">
        <v>2020</v>
      </c>
      <c r="W44" s="1" t="s">
        <v>7</v>
      </c>
      <c r="X44" s="1">
        <f>WEEKDAY(tabela_cala[[#This Row],[rides.ride_date]],2)</f>
        <v>5</v>
      </c>
    </row>
    <row r="45" spans="1:24" x14ac:dyDescent="0.25">
      <c r="A45">
        <v>30</v>
      </c>
      <c r="B45" s="1" t="s">
        <v>86</v>
      </c>
      <c r="C45" s="1" t="s">
        <v>47</v>
      </c>
      <c r="D45" s="1" t="s">
        <v>48</v>
      </c>
      <c r="E45">
        <v>2023</v>
      </c>
      <c r="F45">
        <v>44</v>
      </c>
      <c r="G45">
        <v>18</v>
      </c>
      <c r="H45">
        <v>48</v>
      </c>
      <c r="I45" s="2">
        <v>45740</v>
      </c>
      <c r="J45">
        <v>1</v>
      </c>
      <c r="K45" s="1" t="s">
        <v>26</v>
      </c>
      <c r="L45" s="1" t="s">
        <v>27</v>
      </c>
      <c r="M45">
        <v>45</v>
      </c>
      <c r="N45">
        <v>9</v>
      </c>
      <c r="O45" s="1" t="s">
        <v>40</v>
      </c>
      <c r="P45" s="1" t="s">
        <v>35</v>
      </c>
      <c r="Q45">
        <v>21</v>
      </c>
      <c r="R45">
        <v>44</v>
      </c>
      <c r="S45">
        <v>7.94</v>
      </c>
      <c r="T45" s="1" t="s">
        <v>14</v>
      </c>
      <c r="U45" s="1" t="s">
        <v>4</v>
      </c>
      <c r="V45">
        <v>2022</v>
      </c>
      <c r="W45" s="1" t="s">
        <v>7</v>
      </c>
      <c r="X45" s="1">
        <f>WEEKDAY(tabela_cala[[#This Row],[rides.ride_date]],2)</f>
        <v>1</v>
      </c>
    </row>
    <row r="46" spans="1:24" x14ac:dyDescent="0.25">
      <c r="A46">
        <v>14</v>
      </c>
      <c r="B46" s="1" t="s">
        <v>67</v>
      </c>
      <c r="C46" s="1" t="s">
        <v>54</v>
      </c>
      <c r="D46" s="1" t="s">
        <v>50</v>
      </c>
      <c r="E46">
        <v>2022</v>
      </c>
      <c r="F46">
        <v>45</v>
      </c>
      <c r="G46">
        <v>3</v>
      </c>
      <c r="H46">
        <v>47</v>
      </c>
      <c r="I46" s="2">
        <v>45746</v>
      </c>
      <c r="J46">
        <v>4</v>
      </c>
      <c r="K46" s="1" t="s">
        <v>32</v>
      </c>
      <c r="L46" s="1" t="s">
        <v>33</v>
      </c>
      <c r="M46">
        <v>21</v>
      </c>
      <c r="N46">
        <v>6</v>
      </c>
      <c r="O46" s="1" t="s">
        <v>36</v>
      </c>
      <c r="P46" s="1" t="s">
        <v>37</v>
      </c>
      <c r="Q46">
        <v>42</v>
      </c>
      <c r="R46">
        <v>45</v>
      </c>
      <c r="S46">
        <v>14.99</v>
      </c>
      <c r="T46" s="1" t="s">
        <v>15</v>
      </c>
      <c r="U46" s="1" t="s">
        <v>4</v>
      </c>
      <c r="V46">
        <v>2017</v>
      </c>
      <c r="W46" s="1" t="s">
        <v>7</v>
      </c>
      <c r="X46" s="1">
        <f>WEEKDAY(tabela_cala[[#This Row],[rides.ride_date]],2)</f>
        <v>7</v>
      </c>
    </row>
    <row r="47" spans="1:24" x14ac:dyDescent="0.25">
      <c r="A47">
        <v>11</v>
      </c>
      <c r="B47" s="1" t="s">
        <v>64</v>
      </c>
      <c r="C47" s="1" t="s">
        <v>54</v>
      </c>
      <c r="D47" s="1" t="s">
        <v>48</v>
      </c>
      <c r="E47">
        <v>2025</v>
      </c>
      <c r="F47">
        <v>46</v>
      </c>
      <c r="G47">
        <v>4</v>
      </c>
      <c r="H47">
        <v>51</v>
      </c>
      <c r="I47" s="2">
        <v>45745</v>
      </c>
      <c r="J47">
        <v>6</v>
      </c>
      <c r="K47" s="1" t="s">
        <v>36</v>
      </c>
      <c r="L47" s="1" t="s">
        <v>37</v>
      </c>
      <c r="M47">
        <v>42</v>
      </c>
      <c r="N47">
        <v>10</v>
      </c>
      <c r="O47" s="1" t="s">
        <v>41</v>
      </c>
      <c r="P47" s="1" t="s">
        <v>33</v>
      </c>
      <c r="Q47">
        <v>40</v>
      </c>
      <c r="R47">
        <v>46</v>
      </c>
      <c r="S47">
        <v>3.39</v>
      </c>
      <c r="T47" s="1" t="s">
        <v>14</v>
      </c>
      <c r="U47" s="1" t="s">
        <v>6</v>
      </c>
      <c r="V47">
        <v>2017</v>
      </c>
      <c r="W47" s="1" t="s">
        <v>7</v>
      </c>
      <c r="X47" s="1">
        <f>WEEKDAY(tabela_cala[[#This Row],[rides.ride_date]],2)</f>
        <v>6</v>
      </c>
    </row>
    <row r="48" spans="1:24" x14ac:dyDescent="0.25">
      <c r="A48">
        <v>10</v>
      </c>
      <c r="B48" s="1" t="s">
        <v>63</v>
      </c>
      <c r="C48" s="1" t="s">
        <v>54</v>
      </c>
      <c r="D48" s="1" t="s">
        <v>58</v>
      </c>
      <c r="E48">
        <v>2023</v>
      </c>
      <c r="F48">
        <v>47</v>
      </c>
      <c r="G48">
        <v>14</v>
      </c>
      <c r="H48">
        <v>25</v>
      </c>
      <c r="I48" s="2">
        <v>45729</v>
      </c>
      <c r="J48">
        <v>5</v>
      </c>
      <c r="K48" s="1" t="s">
        <v>34</v>
      </c>
      <c r="L48" s="1" t="s">
        <v>35</v>
      </c>
      <c r="M48">
        <v>42</v>
      </c>
      <c r="N48">
        <v>9</v>
      </c>
      <c r="O48" s="1" t="s">
        <v>40</v>
      </c>
      <c r="P48" s="1" t="s">
        <v>35</v>
      </c>
      <c r="Q48">
        <v>21</v>
      </c>
      <c r="R48">
        <v>47</v>
      </c>
      <c r="S48">
        <v>6.67</v>
      </c>
      <c r="T48" s="1" t="s">
        <v>14</v>
      </c>
      <c r="U48" s="1" t="s">
        <v>4</v>
      </c>
      <c r="V48">
        <v>2018</v>
      </c>
      <c r="W48" s="1" t="s">
        <v>7</v>
      </c>
      <c r="X48" s="1">
        <f>WEEKDAY(tabela_cala[[#This Row],[rides.ride_date]],2)</f>
        <v>4</v>
      </c>
    </row>
    <row r="49" spans="1:24" x14ac:dyDescent="0.25">
      <c r="A49">
        <v>5</v>
      </c>
      <c r="B49" s="1" t="s">
        <v>56</v>
      </c>
      <c r="C49" s="1" t="s">
        <v>47</v>
      </c>
      <c r="D49" s="1" t="s">
        <v>55</v>
      </c>
      <c r="E49">
        <v>2024</v>
      </c>
      <c r="F49">
        <v>48</v>
      </c>
      <c r="G49">
        <v>7</v>
      </c>
      <c r="H49">
        <v>31</v>
      </c>
      <c r="I49" s="2">
        <v>45738</v>
      </c>
      <c r="J49">
        <v>5</v>
      </c>
      <c r="K49" s="1" t="s">
        <v>34</v>
      </c>
      <c r="L49" s="1" t="s">
        <v>35</v>
      </c>
      <c r="M49">
        <v>42</v>
      </c>
      <c r="N49">
        <v>9</v>
      </c>
      <c r="O49" s="1" t="s">
        <v>40</v>
      </c>
      <c r="P49" s="1" t="s">
        <v>35</v>
      </c>
      <c r="Q49">
        <v>21</v>
      </c>
      <c r="R49">
        <v>48</v>
      </c>
      <c r="S49">
        <v>11.09</v>
      </c>
      <c r="T49" s="1" t="s">
        <v>14</v>
      </c>
      <c r="U49" s="1" t="s">
        <v>6</v>
      </c>
      <c r="V49">
        <v>2018</v>
      </c>
      <c r="W49" s="1" t="s">
        <v>8</v>
      </c>
      <c r="X49" s="1">
        <f>WEEKDAY(tabela_cala[[#This Row],[rides.ride_date]],2)</f>
        <v>6</v>
      </c>
    </row>
    <row r="50" spans="1:24" x14ac:dyDescent="0.25">
      <c r="A50">
        <v>20</v>
      </c>
      <c r="B50" s="1" t="s">
        <v>75</v>
      </c>
      <c r="C50" s="1" t="s">
        <v>72</v>
      </c>
      <c r="D50" s="1" t="s">
        <v>50</v>
      </c>
      <c r="E50">
        <v>2020</v>
      </c>
      <c r="F50">
        <v>49</v>
      </c>
      <c r="G50">
        <v>19</v>
      </c>
      <c r="H50">
        <v>24</v>
      </c>
      <c r="I50" s="2">
        <v>45729</v>
      </c>
      <c r="J50">
        <v>7</v>
      </c>
      <c r="K50" s="1" t="s">
        <v>38</v>
      </c>
      <c r="L50" s="1" t="s">
        <v>31</v>
      </c>
      <c r="M50">
        <v>44</v>
      </c>
      <c r="N50">
        <v>3</v>
      </c>
      <c r="O50" s="1" t="s">
        <v>30</v>
      </c>
      <c r="P50" s="1" t="s">
        <v>31</v>
      </c>
      <c r="Q50">
        <v>27</v>
      </c>
      <c r="R50">
        <v>49</v>
      </c>
      <c r="S50">
        <v>12.79</v>
      </c>
      <c r="T50" s="1" t="s">
        <v>14</v>
      </c>
      <c r="U50" s="1" t="s">
        <v>4</v>
      </c>
      <c r="V50">
        <v>2021</v>
      </c>
      <c r="W50" s="1" t="s">
        <v>7</v>
      </c>
      <c r="X50" s="1">
        <f>WEEKDAY(tabela_cala[[#This Row],[rides.ride_date]],2)</f>
        <v>4</v>
      </c>
    </row>
    <row r="51" spans="1:24" x14ac:dyDescent="0.25">
      <c r="A51">
        <v>10</v>
      </c>
      <c r="B51" s="1" t="s">
        <v>63</v>
      </c>
      <c r="C51" s="1" t="s">
        <v>54</v>
      </c>
      <c r="D51" s="1" t="s">
        <v>58</v>
      </c>
      <c r="E51">
        <v>2023</v>
      </c>
      <c r="F51">
        <v>50</v>
      </c>
      <c r="G51">
        <v>10</v>
      </c>
      <c r="H51">
        <v>18</v>
      </c>
      <c r="I51" s="2">
        <v>45730</v>
      </c>
      <c r="J51">
        <v>9</v>
      </c>
      <c r="K51" s="1" t="s">
        <v>40</v>
      </c>
      <c r="L51" s="1" t="s">
        <v>35</v>
      </c>
      <c r="M51">
        <v>21</v>
      </c>
      <c r="N51">
        <v>1</v>
      </c>
      <c r="O51" s="1" t="s">
        <v>26</v>
      </c>
      <c r="P51" s="1" t="s">
        <v>27</v>
      </c>
      <c r="Q51">
        <v>45</v>
      </c>
      <c r="R51">
        <v>50</v>
      </c>
      <c r="S51">
        <v>2.11</v>
      </c>
      <c r="T51" s="1" t="s">
        <v>15</v>
      </c>
      <c r="U51" s="1" t="s">
        <v>9</v>
      </c>
      <c r="V51">
        <v>2023</v>
      </c>
      <c r="W51" s="1" t="s">
        <v>8</v>
      </c>
      <c r="X51" s="1">
        <f>WEEKDAY(tabela_cala[[#This Row],[rides.ride_date]],2)</f>
        <v>5</v>
      </c>
    </row>
    <row r="52" spans="1:24" x14ac:dyDescent="0.25">
      <c r="A52">
        <v>15</v>
      </c>
      <c r="B52" s="1" t="s">
        <v>68</v>
      </c>
      <c r="C52" s="1" t="s">
        <v>47</v>
      </c>
      <c r="D52" s="1" t="s">
        <v>61</v>
      </c>
      <c r="E52">
        <v>2020</v>
      </c>
      <c r="F52">
        <v>51</v>
      </c>
      <c r="G52">
        <v>15</v>
      </c>
      <c r="H52">
        <v>33</v>
      </c>
      <c r="I52" s="2">
        <v>45738</v>
      </c>
      <c r="J52">
        <v>10</v>
      </c>
      <c r="K52" s="1" t="s">
        <v>41</v>
      </c>
      <c r="L52" s="1" t="s">
        <v>33</v>
      </c>
      <c r="M52">
        <v>40</v>
      </c>
      <c r="N52">
        <v>6</v>
      </c>
      <c r="O52" s="1" t="s">
        <v>36</v>
      </c>
      <c r="P52" s="1" t="s">
        <v>37</v>
      </c>
      <c r="Q52">
        <v>42</v>
      </c>
      <c r="R52">
        <v>51</v>
      </c>
      <c r="S52">
        <v>12.12</v>
      </c>
      <c r="T52" s="1" t="s">
        <v>16</v>
      </c>
      <c r="U52" s="1" t="s">
        <v>9</v>
      </c>
      <c r="V52">
        <v>2020</v>
      </c>
      <c r="W52" s="1" t="s">
        <v>7</v>
      </c>
      <c r="X52" s="1">
        <f>WEEKDAY(tabela_cala[[#This Row],[rides.ride_date]],2)</f>
        <v>6</v>
      </c>
    </row>
    <row r="53" spans="1:24" x14ac:dyDescent="0.25">
      <c r="A53">
        <v>16</v>
      </c>
      <c r="B53" s="1" t="s">
        <v>69</v>
      </c>
      <c r="C53" s="1" t="s">
        <v>54</v>
      </c>
      <c r="D53" s="1" t="s">
        <v>48</v>
      </c>
      <c r="E53">
        <v>2024</v>
      </c>
      <c r="F53">
        <v>52</v>
      </c>
      <c r="G53">
        <v>6</v>
      </c>
      <c r="H53">
        <v>47</v>
      </c>
      <c r="I53" s="2">
        <v>45719</v>
      </c>
      <c r="J53">
        <v>4</v>
      </c>
      <c r="K53" s="1" t="s">
        <v>32</v>
      </c>
      <c r="L53" s="1" t="s">
        <v>33</v>
      </c>
      <c r="M53">
        <v>21</v>
      </c>
      <c r="N53">
        <v>9</v>
      </c>
      <c r="O53" s="1" t="s">
        <v>40</v>
      </c>
      <c r="P53" s="1" t="s">
        <v>35</v>
      </c>
      <c r="Q53">
        <v>21</v>
      </c>
      <c r="R53">
        <v>52</v>
      </c>
      <c r="S53">
        <v>13.84</v>
      </c>
      <c r="T53" s="1" t="s">
        <v>15</v>
      </c>
      <c r="U53" s="1" t="s">
        <v>4</v>
      </c>
      <c r="V53">
        <v>2018</v>
      </c>
      <c r="W53" s="1" t="s">
        <v>7</v>
      </c>
      <c r="X53" s="1">
        <f>WEEKDAY(tabela_cala[[#This Row],[rides.ride_date]],2)</f>
        <v>1</v>
      </c>
    </row>
    <row r="54" spans="1:24" x14ac:dyDescent="0.25">
      <c r="A54">
        <v>22</v>
      </c>
      <c r="B54" s="1" t="s">
        <v>77</v>
      </c>
      <c r="C54" s="1" t="s">
        <v>72</v>
      </c>
      <c r="D54" s="1" t="s">
        <v>78</v>
      </c>
      <c r="E54">
        <v>2020</v>
      </c>
      <c r="F54">
        <v>53</v>
      </c>
      <c r="G54">
        <v>20</v>
      </c>
      <c r="H54">
        <v>26</v>
      </c>
      <c r="I54" s="2">
        <v>45719</v>
      </c>
      <c r="J54">
        <v>5</v>
      </c>
      <c r="K54" s="1" t="s">
        <v>34</v>
      </c>
      <c r="L54" s="1" t="s">
        <v>35</v>
      </c>
      <c r="M54">
        <v>42</v>
      </c>
      <c r="N54">
        <v>9</v>
      </c>
      <c r="O54" s="1" t="s">
        <v>40</v>
      </c>
      <c r="P54" s="1" t="s">
        <v>35</v>
      </c>
      <c r="Q54">
        <v>21</v>
      </c>
      <c r="R54">
        <v>53</v>
      </c>
      <c r="S54">
        <v>12.83</v>
      </c>
      <c r="T54" s="1" t="s">
        <v>16</v>
      </c>
      <c r="U54" s="1" t="s">
        <v>4</v>
      </c>
      <c r="V54">
        <v>2019</v>
      </c>
      <c r="W54" s="1" t="s">
        <v>5</v>
      </c>
      <c r="X54" s="1">
        <f>WEEKDAY(tabela_cala[[#This Row],[rides.ride_date]],2)</f>
        <v>1</v>
      </c>
    </row>
    <row r="55" spans="1:24" x14ac:dyDescent="0.25">
      <c r="A55">
        <v>8</v>
      </c>
      <c r="B55" s="1" t="s">
        <v>60</v>
      </c>
      <c r="C55" s="1" t="s">
        <v>54</v>
      </c>
      <c r="D55" s="1" t="s">
        <v>61</v>
      </c>
      <c r="E55">
        <v>2019</v>
      </c>
      <c r="F55">
        <v>54</v>
      </c>
      <c r="G55">
        <v>7</v>
      </c>
      <c r="H55">
        <v>14</v>
      </c>
      <c r="I55" s="2">
        <v>45717</v>
      </c>
      <c r="J55">
        <v>4</v>
      </c>
      <c r="K55" s="1" t="s">
        <v>32</v>
      </c>
      <c r="L55" s="1" t="s">
        <v>33</v>
      </c>
      <c r="M55">
        <v>21</v>
      </c>
      <c r="N55">
        <v>5</v>
      </c>
      <c r="O55" s="1" t="s">
        <v>34</v>
      </c>
      <c r="P55" s="1" t="s">
        <v>35</v>
      </c>
      <c r="Q55">
        <v>42</v>
      </c>
      <c r="R55">
        <v>54</v>
      </c>
      <c r="S55">
        <v>12.08</v>
      </c>
      <c r="T55" s="1" t="s">
        <v>14</v>
      </c>
      <c r="U55" s="1" t="s">
        <v>6</v>
      </c>
      <c r="V55">
        <v>2018</v>
      </c>
      <c r="W55" s="1" t="s">
        <v>8</v>
      </c>
      <c r="X55" s="1">
        <f>WEEKDAY(tabela_cala[[#This Row],[rides.ride_date]],2)</f>
        <v>6</v>
      </c>
    </row>
    <row r="56" spans="1:24" x14ac:dyDescent="0.25">
      <c r="A56">
        <v>16</v>
      </c>
      <c r="B56" s="1" t="s">
        <v>69</v>
      </c>
      <c r="C56" s="1" t="s">
        <v>54</v>
      </c>
      <c r="D56" s="1" t="s">
        <v>48</v>
      </c>
      <c r="E56">
        <v>2024</v>
      </c>
      <c r="F56">
        <v>55</v>
      </c>
      <c r="G56">
        <v>20</v>
      </c>
      <c r="H56">
        <v>59</v>
      </c>
      <c r="I56" s="2">
        <v>45741</v>
      </c>
      <c r="J56">
        <v>1</v>
      </c>
      <c r="K56" s="1" t="s">
        <v>26</v>
      </c>
      <c r="L56" s="1" t="s">
        <v>27</v>
      </c>
      <c r="M56">
        <v>45</v>
      </c>
      <c r="N56">
        <v>4</v>
      </c>
      <c r="O56" s="1" t="s">
        <v>32</v>
      </c>
      <c r="P56" s="1" t="s">
        <v>33</v>
      </c>
      <c r="Q56">
        <v>21</v>
      </c>
      <c r="R56">
        <v>55</v>
      </c>
      <c r="S56">
        <v>12.43</v>
      </c>
      <c r="T56" s="1" t="s">
        <v>14</v>
      </c>
      <c r="U56" s="1" t="s">
        <v>4</v>
      </c>
      <c r="V56">
        <v>2019</v>
      </c>
      <c r="W56" s="1" t="s">
        <v>5</v>
      </c>
      <c r="X56" s="1">
        <f>WEEKDAY(tabela_cala[[#This Row],[rides.ride_date]],2)</f>
        <v>2</v>
      </c>
    </row>
    <row r="57" spans="1:24" x14ac:dyDescent="0.25">
      <c r="A57">
        <v>14</v>
      </c>
      <c r="B57" s="1" t="s">
        <v>67</v>
      </c>
      <c r="C57" s="1" t="s">
        <v>54</v>
      </c>
      <c r="D57" s="1" t="s">
        <v>50</v>
      </c>
      <c r="E57">
        <v>2022</v>
      </c>
      <c r="F57">
        <v>56</v>
      </c>
      <c r="G57">
        <v>19</v>
      </c>
      <c r="H57">
        <v>17</v>
      </c>
      <c r="I57" s="2">
        <v>45739</v>
      </c>
      <c r="J57">
        <v>2</v>
      </c>
      <c r="K57" s="1" t="s">
        <v>28</v>
      </c>
      <c r="L57" s="1" t="s">
        <v>29</v>
      </c>
      <c r="M57">
        <v>45</v>
      </c>
      <c r="N57">
        <v>8</v>
      </c>
      <c r="O57" s="1" t="s">
        <v>39</v>
      </c>
      <c r="P57" s="1" t="s">
        <v>35</v>
      </c>
      <c r="Q57">
        <v>18</v>
      </c>
      <c r="R57">
        <v>56</v>
      </c>
      <c r="S57">
        <v>4.47</v>
      </c>
      <c r="T57" s="1" t="s">
        <v>14</v>
      </c>
      <c r="U57" s="1" t="s">
        <v>4</v>
      </c>
      <c r="V57">
        <v>2021</v>
      </c>
      <c r="W57" s="1" t="s">
        <v>7</v>
      </c>
      <c r="X57" s="1">
        <f>WEEKDAY(tabela_cala[[#This Row],[rides.ride_date]],2)</f>
        <v>7</v>
      </c>
    </row>
    <row r="58" spans="1:24" x14ac:dyDescent="0.25">
      <c r="A58">
        <v>13</v>
      </c>
      <c r="B58" s="1" t="s">
        <v>66</v>
      </c>
      <c r="C58" s="1" t="s">
        <v>47</v>
      </c>
      <c r="D58" s="1" t="s">
        <v>55</v>
      </c>
      <c r="E58">
        <v>2025</v>
      </c>
      <c r="F58">
        <v>57</v>
      </c>
      <c r="G58">
        <v>8</v>
      </c>
      <c r="H58">
        <v>14</v>
      </c>
      <c r="I58" s="2">
        <v>45737</v>
      </c>
      <c r="J58">
        <v>7</v>
      </c>
      <c r="K58" s="1" t="s">
        <v>38</v>
      </c>
      <c r="L58" s="1" t="s">
        <v>31</v>
      </c>
      <c r="M58">
        <v>44</v>
      </c>
      <c r="N58">
        <v>8</v>
      </c>
      <c r="O58" s="1" t="s">
        <v>39</v>
      </c>
      <c r="P58" s="1" t="s">
        <v>35</v>
      </c>
      <c r="Q58">
        <v>18</v>
      </c>
      <c r="R58">
        <v>57</v>
      </c>
      <c r="S58">
        <v>11.82</v>
      </c>
      <c r="T58" s="1" t="s">
        <v>15</v>
      </c>
      <c r="U58" s="1" t="s">
        <v>9</v>
      </c>
      <c r="V58">
        <v>2019</v>
      </c>
      <c r="W58" s="1" t="s">
        <v>7</v>
      </c>
      <c r="X58" s="1">
        <f>WEEKDAY(tabela_cala[[#This Row],[rides.ride_date]],2)</f>
        <v>5</v>
      </c>
    </row>
    <row r="59" spans="1:24" x14ac:dyDescent="0.25">
      <c r="A59">
        <v>25</v>
      </c>
      <c r="B59" s="1" t="s">
        <v>81</v>
      </c>
      <c r="C59" s="1" t="s">
        <v>54</v>
      </c>
      <c r="D59" s="1" t="s">
        <v>50</v>
      </c>
      <c r="E59">
        <v>2020</v>
      </c>
      <c r="F59">
        <v>58</v>
      </c>
      <c r="G59">
        <v>14</v>
      </c>
      <c r="H59">
        <v>19</v>
      </c>
      <c r="I59" s="2">
        <v>45722</v>
      </c>
      <c r="J59">
        <v>1</v>
      </c>
      <c r="K59" s="1" t="s">
        <v>26</v>
      </c>
      <c r="L59" s="1" t="s">
        <v>27</v>
      </c>
      <c r="M59">
        <v>45</v>
      </c>
      <c r="N59">
        <v>2</v>
      </c>
      <c r="O59" s="1" t="s">
        <v>28</v>
      </c>
      <c r="P59" s="1" t="s">
        <v>29</v>
      </c>
      <c r="Q59">
        <v>45</v>
      </c>
      <c r="R59">
        <v>58</v>
      </c>
      <c r="S59">
        <v>10.85</v>
      </c>
      <c r="T59" s="1" t="s">
        <v>14</v>
      </c>
      <c r="U59" s="1" t="s">
        <v>4</v>
      </c>
      <c r="V59">
        <v>2018</v>
      </c>
      <c r="W59" s="1" t="s">
        <v>7</v>
      </c>
      <c r="X59" s="1">
        <f>WEEKDAY(tabela_cala[[#This Row],[rides.ride_date]],2)</f>
        <v>4</v>
      </c>
    </row>
    <row r="60" spans="1:24" x14ac:dyDescent="0.25">
      <c r="A60">
        <v>2</v>
      </c>
      <c r="B60" s="1" t="s">
        <v>49</v>
      </c>
      <c r="C60" s="1" t="s">
        <v>47</v>
      </c>
      <c r="D60" s="1" t="s">
        <v>50</v>
      </c>
      <c r="E60">
        <v>2024</v>
      </c>
      <c r="F60">
        <v>59</v>
      </c>
      <c r="G60">
        <v>18</v>
      </c>
      <c r="H60">
        <v>20</v>
      </c>
      <c r="I60" s="2">
        <v>45746</v>
      </c>
      <c r="J60">
        <v>9</v>
      </c>
      <c r="K60" s="1" t="s">
        <v>40</v>
      </c>
      <c r="L60" s="1" t="s">
        <v>35</v>
      </c>
      <c r="M60">
        <v>21</v>
      </c>
      <c r="N60">
        <v>8</v>
      </c>
      <c r="O60" s="1" t="s">
        <v>39</v>
      </c>
      <c r="P60" s="1" t="s">
        <v>35</v>
      </c>
      <c r="Q60">
        <v>18</v>
      </c>
      <c r="R60">
        <v>59</v>
      </c>
      <c r="S60">
        <v>3.26</v>
      </c>
      <c r="T60" s="1" t="s">
        <v>15</v>
      </c>
      <c r="U60" s="1" t="s">
        <v>4</v>
      </c>
      <c r="V60">
        <v>2022</v>
      </c>
      <c r="W60" s="1" t="s">
        <v>7</v>
      </c>
      <c r="X60" s="1">
        <f>WEEKDAY(tabela_cala[[#This Row],[rides.ride_date]],2)</f>
        <v>7</v>
      </c>
    </row>
    <row r="61" spans="1:24" x14ac:dyDescent="0.25">
      <c r="A61">
        <v>5</v>
      </c>
      <c r="B61" s="1" t="s">
        <v>56</v>
      </c>
      <c r="C61" s="1" t="s">
        <v>47</v>
      </c>
      <c r="D61" s="1" t="s">
        <v>55</v>
      </c>
      <c r="E61">
        <v>2024</v>
      </c>
      <c r="F61">
        <v>60</v>
      </c>
      <c r="G61">
        <v>15</v>
      </c>
      <c r="H61">
        <v>47</v>
      </c>
      <c r="I61" s="2">
        <v>45733</v>
      </c>
      <c r="J61">
        <v>2</v>
      </c>
      <c r="K61" s="1" t="s">
        <v>28</v>
      </c>
      <c r="L61" s="1" t="s">
        <v>29</v>
      </c>
      <c r="M61">
        <v>45</v>
      </c>
      <c r="N61">
        <v>8</v>
      </c>
      <c r="O61" s="1" t="s">
        <v>39</v>
      </c>
      <c r="P61" s="1" t="s">
        <v>35</v>
      </c>
      <c r="Q61">
        <v>18</v>
      </c>
      <c r="R61">
        <v>60</v>
      </c>
      <c r="S61">
        <v>2.5099999999999998</v>
      </c>
      <c r="T61" s="1" t="s">
        <v>15</v>
      </c>
      <c r="U61" s="1" t="s">
        <v>9</v>
      </c>
      <c r="V61">
        <v>2020</v>
      </c>
      <c r="W61" s="1" t="s">
        <v>7</v>
      </c>
      <c r="X61" s="1">
        <f>WEEKDAY(tabela_cala[[#This Row],[rides.ride_date]],2)</f>
        <v>1</v>
      </c>
    </row>
    <row r="62" spans="1:24" x14ac:dyDescent="0.25">
      <c r="A62">
        <v>11</v>
      </c>
      <c r="B62" s="1" t="s">
        <v>64</v>
      </c>
      <c r="C62" s="1" t="s">
        <v>54</v>
      </c>
      <c r="D62" s="1" t="s">
        <v>48</v>
      </c>
      <c r="E62">
        <v>2025</v>
      </c>
      <c r="F62">
        <v>61</v>
      </c>
      <c r="G62">
        <v>15</v>
      </c>
      <c r="H62">
        <v>44</v>
      </c>
      <c r="I62" s="2">
        <v>45743</v>
      </c>
      <c r="J62">
        <v>9</v>
      </c>
      <c r="K62" s="1" t="s">
        <v>40</v>
      </c>
      <c r="L62" s="1" t="s">
        <v>35</v>
      </c>
      <c r="M62">
        <v>21</v>
      </c>
      <c r="N62">
        <v>10</v>
      </c>
      <c r="O62" s="1" t="s">
        <v>41</v>
      </c>
      <c r="P62" s="1" t="s">
        <v>33</v>
      </c>
      <c r="Q62">
        <v>40</v>
      </c>
      <c r="R62">
        <v>61</v>
      </c>
      <c r="S62">
        <v>2.4300000000000002</v>
      </c>
      <c r="T62" s="1" t="s">
        <v>14</v>
      </c>
      <c r="U62" s="1" t="s">
        <v>9</v>
      </c>
      <c r="V62">
        <v>2020</v>
      </c>
      <c r="W62" s="1" t="s">
        <v>7</v>
      </c>
      <c r="X62" s="1">
        <f>WEEKDAY(tabela_cala[[#This Row],[rides.ride_date]],2)</f>
        <v>4</v>
      </c>
    </row>
    <row r="63" spans="1:24" x14ac:dyDescent="0.25">
      <c r="A63">
        <v>27</v>
      </c>
      <c r="B63" s="1" t="s">
        <v>83</v>
      </c>
      <c r="C63" s="1" t="s">
        <v>47</v>
      </c>
      <c r="D63" s="1" t="s">
        <v>48</v>
      </c>
      <c r="E63">
        <v>2023</v>
      </c>
      <c r="F63">
        <v>62</v>
      </c>
      <c r="G63">
        <v>18</v>
      </c>
      <c r="H63">
        <v>33</v>
      </c>
      <c r="I63" s="2">
        <v>45745</v>
      </c>
      <c r="J63">
        <v>9</v>
      </c>
      <c r="K63" s="1" t="s">
        <v>40</v>
      </c>
      <c r="L63" s="1" t="s">
        <v>35</v>
      </c>
      <c r="M63">
        <v>21</v>
      </c>
      <c r="N63">
        <v>7</v>
      </c>
      <c r="O63" s="1" t="s">
        <v>38</v>
      </c>
      <c r="P63" s="1" t="s">
        <v>31</v>
      </c>
      <c r="Q63">
        <v>44</v>
      </c>
      <c r="R63">
        <v>62</v>
      </c>
      <c r="S63">
        <v>3.71</v>
      </c>
      <c r="T63" s="1" t="s">
        <v>16</v>
      </c>
      <c r="U63" s="1" t="s">
        <v>4</v>
      </c>
      <c r="V63">
        <v>2022</v>
      </c>
      <c r="W63" s="1" t="s">
        <v>7</v>
      </c>
      <c r="X63" s="1">
        <f>WEEKDAY(tabela_cala[[#This Row],[rides.ride_date]],2)</f>
        <v>6</v>
      </c>
    </row>
    <row r="64" spans="1:24" x14ac:dyDescent="0.25">
      <c r="A64">
        <v>15</v>
      </c>
      <c r="B64" s="1" t="s">
        <v>68</v>
      </c>
      <c r="C64" s="1" t="s">
        <v>47</v>
      </c>
      <c r="D64" s="1" t="s">
        <v>61</v>
      </c>
      <c r="E64">
        <v>2020</v>
      </c>
      <c r="F64">
        <v>63</v>
      </c>
      <c r="G64">
        <v>9</v>
      </c>
      <c r="H64">
        <v>53</v>
      </c>
      <c r="I64" s="2">
        <v>45724</v>
      </c>
      <c r="J64">
        <v>3</v>
      </c>
      <c r="K64" s="1" t="s">
        <v>30</v>
      </c>
      <c r="L64" s="1" t="s">
        <v>31</v>
      </c>
      <c r="M64">
        <v>27</v>
      </c>
      <c r="N64">
        <v>8</v>
      </c>
      <c r="O64" s="1" t="s">
        <v>39</v>
      </c>
      <c r="P64" s="1" t="s">
        <v>35</v>
      </c>
      <c r="Q64">
        <v>18</v>
      </c>
      <c r="R64">
        <v>63</v>
      </c>
      <c r="S64">
        <v>6.25</v>
      </c>
      <c r="T64" s="1" t="s">
        <v>14</v>
      </c>
      <c r="U64" s="1" t="s">
        <v>6</v>
      </c>
      <c r="V64">
        <v>2019</v>
      </c>
      <c r="W64" s="1" t="s">
        <v>7</v>
      </c>
      <c r="X64" s="1">
        <f>WEEKDAY(tabela_cala[[#This Row],[rides.ride_date]],2)</f>
        <v>6</v>
      </c>
    </row>
    <row r="65" spans="1:24" x14ac:dyDescent="0.25">
      <c r="A65">
        <v>16</v>
      </c>
      <c r="B65" s="1" t="s">
        <v>69</v>
      </c>
      <c r="C65" s="1" t="s">
        <v>54</v>
      </c>
      <c r="D65" s="1" t="s">
        <v>48</v>
      </c>
      <c r="E65">
        <v>2024</v>
      </c>
      <c r="F65">
        <v>64</v>
      </c>
      <c r="G65">
        <v>8</v>
      </c>
      <c r="H65">
        <v>22</v>
      </c>
      <c r="I65" s="2">
        <v>45731</v>
      </c>
      <c r="J65">
        <v>5</v>
      </c>
      <c r="K65" s="1" t="s">
        <v>34</v>
      </c>
      <c r="L65" s="1" t="s">
        <v>35</v>
      </c>
      <c r="M65">
        <v>42</v>
      </c>
      <c r="N65">
        <v>9</v>
      </c>
      <c r="O65" s="1" t="s">
        <v>40</v>
      </c>
      <c r="P65" s="1" t="s">
        <v>35</v>
      </c>
      <c r="Q65">
        <v>21</v>
      </c>
      <c r="R65">
        <v>64</v>
      </c>
      <c r="S65">
        <v>4.6100000000000003</v>
      </c>
      <c r="T65" s="1" t="s">
        <v>15</v>
      </c>
      <c r="U65" s="1" t="s">
        <v>9</v>
      </c>
      <c r="V65">
        <v>2019</v>
      </c>
      <c r="W65" s="1" t="s">
        <v>7</v>
      </c>
      <c r="X65" s="1">
        <f>WEEKDAY(tabela_cala[[#This Row],[rides.ride_date]],2)</f>
        <v>6</v>
      </c>
    </row>
    <row r="66" spans="1:24" x14ac:dyDescent="0.25">
      <c r="A66">
        <v>8</v>
      </c>
      <c r="B66" s="1" t="s">
        <v>60</v>
      </c>
      <c r="C66" s="1" t="s">
        <v>54</v>
      </c>
      <c r="D66" s="1" t="s">
        <v>61</v>
      </c>
      <c r="E66">
        <v>2019</v>
      </c>
      <c r="F66">
        <v>65</v>
      </c>
      <c r="G66">
        <v>9</v>
      </c>
      <c r="H66">
        <v>26</v>
      </c>
      <c r="I66" s="2">
        <v>45727</v>
      </c>
      <c r="J66">
        <v>2</v>
      </c>
      <c r="K66" s="1" t="s">
        <v>28</v>
      </c>
      <c r="L66" s="1" t="s">
        <v>29</v>
      </c>
      <c r="M66">
        <v>45</v>
      </c>
      <c r="N66">
        <v>5</v>
      </c>
      <c r="O66" s="1" t="s">
        <v>34</v>
      </c>
      <c r="P66" s="1" t="s">
        <v>35</v>
      </c>
      <c r="Q66">
        <v>42</v>
      </c>
      <c r="R66">
        <v>65</v>
      </c>
      <c r="S66">
        <v>13.39</v>
      </c>
      <c r="T66" s="1" t="s">
        <v>14</v>
      </c>
      <c r="U66" s="1" t="s">
        <v>6</v>
      </c>
      <c r="V66">
        <v>2019</v>
      </c>
      <c r="W66" s="1" t="s">
        <v>7</v>
      </c>
      <c r="X66" s="1">
        <f>WEEKDAY(tabela_cala[[#This Row],[rides.ride_date]],2)</f>
        <v>2</v>
      </c>
    </row>
    <row r="67" spans="1:24" x14ac:dyDescent="0.25">
      <c r="A67">
        <v>5</v>
      </c>
      <c r="B67" s="1" t="s">
        <v>56</v>
      </c>
      <c r="C67" s="1" t="s">
        <v>47</v>
      </c>
      <c r="D67" s="1" t="s">
        <v>55</v>
      </c>
      <c r="E67">
        <v>2024</v>
      </c>
      <c r="F67">
        <v>66</v>
      </c>
      <c r="G67">
        <v>5</v>
      </c>
      <c r="H67">
        <v>19</v>
      </c>
      <c r="I67" s="2">
        <v>45729</v>
      </c>
      <c r="J67">
        <v>9</v>
      </c>
      <c r="K67" s="1" t="s">
        <v>40</v>
      </c>
      <c r="L67" s="1" t="s">
        <v>35</v>
      </c>
      <c r="M67">
        <v>21</v>
      </c>
      <c r="N67">
        <v>2</v>
      </c>
      <c r="O67" s="1" t="s">
        <v>28</v>
      </c>
      <c r="P67" s="1" t="s">
        <v>29</v>
      </c>
      <c r="Q67">
        <v>45</v>
      </c>
      <c r="R67">
        <v>66</v>
      </c>
      <c r="S67">
        <v>8.52</v>
      </c>
      <c r="T67" s="1" t="s">
        <v>14</v>
      </c>
      <c r="U67" s="1" t="s">
        <v>6</v>
      </c>
      <c r="V67">
        <v>2021</v>
      </c>
      <c r="W67" s="1" t="s">
        <v>7</v>
      </c>
      <c r="X67" s="1">
        <f>WEEKDAY(tabela_cala[[#This Row],[rides.ride_date]],2)</f>
        <v>4</v>
      </c>
    </row>
    <row r="68" spans="1:24" x14ac:dyDescent="0.25">
      <c r="A68">
        <v>3</v>
      </c>
      <c r="B68" s="1" t="s">
        <v>51</v>
      </c>
      <c r="C68" s="1" t="s">
        <v>47</v>
      </c>
      <c r="D68" s="1" t="s">
        <v>52</v>
      </c>
      <c r="E68">
        <v>2019</v>
      </c>
      <c r="F68">
        <v>67</v>
      </c>
      <c r="G68">
        <v>14</v>
      </c>
      <c r="H68">
        <v>31</v>
      </c>
      <c r="I68" s="2">
        <v>45727</v>
      </c>
      <c r="J68">
        <v>3</v>
      </c>
      <c r="K68" s="1" t="s">
        <v>30</v>
      </c>
      <c r="L68" s="1" t="s">
        <v>31</v>
      </c>
      <c r="M68">
        <v>27</v>
      </c>
      <c r="N68">
        <v>4</v>
      </c>
      <c r="O68" s="1" t="s">
        <v>32</v>
      </c>
      <c r="P68" s="1" t="s">
        <v>33</v>
      </c>
      <c r="Q68">
        <v>21</v>
      </c>
      <c r="R68">
        <v>67</v>
      </c>
      <c r="S68">
        <v>4.1399999999999997</v>
      </c>
      <c r="T68" s="1" t="s">
        <v>16</v>
      </c>
      <c r="U68" s="1" t="s">
        <v>4</v>
      </c>
      <c r="V68">
        <v>2018</v>
      </c>
      <c r="W68" s="1" t="s">
        <v>7</v>
      </c>
      <c r="X68" s="1">
        <f>WEEKDAY(tabela_cala[[#This Row],[rides.ride_date]],2)</f>
        <v>2</v>
      </c>
    </row>
    <row r="69" spans="1:24" x14ac:dyDescent="0.25">
      <c r="A69">
        <v>14</v>
      </c>
      <c r="B69" s="1" t="s">
        <v>67</v>
      </c>
      <c r="C69" s="1" t="s">
        <v>54</v>
      </c>
      <c r="D69" s="1" t="s">
        <v>50</v>
      </c>
      <c r="E69">
        <v>2022</v>
      </c>
      <c r="F69">
        <v>68</v>
      </c>
      <c r="G69">
        <v>2</v>
      </c>
      <c r="H69">
        <v>18</v>
      </c>
      <c r="I69" s="2">
        <v>45743</v>
      </c>
      <c r="J69">
        <v>9</v>
      </c>
      <c r="K69" s="1" t="s">
        <v>40</v>
      </c>
      <c r="L69" s="1" t="s">
        <v>35</v>
      </c>
      <c r="M69">
        <v>21</v>
      </c>
      <c r="N69">
        <v>8</v>
      </c>
      <c r="O69" s="1" t="s">
        <v>39</v>
      </c>
      <c r="P69" s="1" t="s">
        <v>35</v>
      </c>
      <c r="Q69">
        <v>18</v>
      </c>
      <c r="R69">
        <v>68</v>
      </c>
      <c r="S69">
        <v>14.27</v>
      </c>
      <c r="T69" s="1" t="s">
        <v>16</v>
      </c>
      <c r="U69" s="1" t="s">
        <v>6</v>
      </c>
      <c r="V69">
        <v>2020</v>
      </c>
      <c r="W69" s="1" t="s">
        <v>7</v>
      </c>
      <c r="X69" s="1">
        <f>WEEKDAY(tabela_cala[[#This Row],[rides.ride_date]],2)</f>
        <v>4</v>
      </c>
    </row>
    <row r="70" spans="1:24" x14ac:dyDescent="0.25">
      <c r="A70">
        <v>23</v>
      </c>
      <c r="B70" s="1" t="s">
        <v>79</v>
      </c>
      <c r="C70" s="1" t="s">
        <v>47</v>
      </c>
      <c r="D70" s="1" t="s">
        <v>52</v>
      </c>
      <c r="E70">
        <v>2023</v>
      </c>
      <c r="F70">
        <v>69</v>
      </c>
      <c r="G70">
        <v>1</v>
      </c>
      <c r="H70">
        <v>59</v>
      </c>
      <c r="I70" s="2">
        <v>45745</v>
      </c>
      <c r="J70">
        <v>7</v>
      </c>
      <c r="K70" s="1" t="s">
        <v>38</v>
      </c>
      <c r="L70" s="1" t="s">
        <v>31</v>
      </c>
      <c r="M70">
        <v>44</v>
      </c>
      <c r="N70">
        <v>10</v>
      </c>
      <c r="O70" s="1" t="s">
        <v>41</v>
      </c>
      <c r="P70" s="1" t="s">
        <v>33</v>
      </c>
      <c r="Q70">
        <v>40</v>
      </c>
      <c r="R70">
        <v>69</v>
      </c>
      <c r="S70">
        <v>5.84</v>
      </c>
      <c r="T70" s="1" t="s">
        <v>15</v>
      </c>
      <c r="U70" s="1" t="s">
        <v>4</v>
      </c>
      <c r="V70">
        <v>2018</v>
      </c>
      <c r="W70" s="1" t="s">
        <v>5</v>
      </c>
      <c r="X70" s="1">
        <f>WEEKDAY(tabela_cala[[#This Row],[rides.ride_date]],2)</f>
        <v>6</v>
      </c>
    </row>
    <row r="71" spans="1:24" x14ac:dyDescent="0.25">
      <c r="A71">
        <v>16</v>
      </c>
      <c r="B71" s="1" t="s">
        <v>69</v>
      </c>
      <c r="C71" s="1" t="s">
        <v>54</v>
      </c>
      <c r="D71" s="1" t="s">
        <v>48</v>
      </c>
      <c r="E71">
        <v>2024</v>
      </c>
      <c r="F71">
        <v>70</v>
      </c>
      <c r="G71">
        <v>1</v>
      </c>
      <c r="H71">
        <v>27</v>
      </c>
      <c r="I71" s="2">
        <v>45726</v>
      </c>
      <c r="J71">
        <v>10</v>
      </c>
      <c r="K71" s="1" t="s">
        <v>41</v>
      </c>
      <c r="L71" s="1" t="s">
        <v>33</v>
      </c>
      <c r="M71">
        <v>40</v>
      </c>
      <c r="N71">
        <v>7</v>
      </c>
      <c r="O71" s="1" t="s">
        <v>38</v>
      </c>
      <c r="P71" s="1" t="s">
        <v>31</v>
      </c>
      <c r="Q71">
        <v>44</v>
      </c>
      <c r="R71">
        <v>70</v>
      </c>
      <c r="S71">
        <v>12.46</v>
      </c>
      <c r="T71" s="1" t="s">
        <v>14</v>
      </c>
      <c r="U71" s="1" t="s">
        <v>4</v>
      </c>
      <c r="V71">
        <v>2018</v>
      </c>
      <c r="W71" s="1" t="s">
        <v>5</v>
      </c>
      <c r="X71" s="1">
        <f>WEEKDAY(tabela_cala[[#This Row],[rides.ride_date]],2)</f>
        <v>1</v>
      </c>
    </row>
    <row r="72" spans="1:24" x14ac:dyDescent="0.25">
      <c r="A72">
        <v>24</v>
      </c>
      <c r="B72" s="1" t="s">
        <v>80</v>
      </c>
      <c r="C72" s="1" t="s">
        <v>54</v>
      </c>
      <c r="D72" s="1" t="s">
        <v>78</v>
      </c>
      <c r="E72">
        <v>2023</v>
      </c>
      <c r="F72">
        <v>71</v>
      </c>
      <c r="G72">
        <v>18</v>
      </c>
      <c r="H72">
        <v>56</v>
      </c>
      <c r="I72" s="2">
        <v>45736</v>
      </c>
      <c r="J72">
        <v>7</v>
      </c>
      <c r="K72" s="1" t="s">
        <v>38</v>
      </c>
      <c r="L72" s="1" t="s">
        <v>31</v>
      </c>
      <c r="M72">
        <v>44</v>
      </c>
      <c r="N72">
        <v>9</v>
      </c>
      <c r="O72" s="1" t="s">
        <v>40</v>
      </c>
      <c r="P72" s="1" t="s">
        <v>35</v>
      </c>
      <c r="Q72">
        <v>21</v>
      </c>
      <c r="R72">
        <v>71</v>
      </c>
      <c r="S72">
        <v>2.98</v>
      </c>
      <c r="T72" s="1" t="s">
        <v>15</v>
      </c>
      <c r="U72" s="1" t="s">
        <v>4</v>
      </c>
      <c r="V72">
        <v>2022</v>
      </c>
      <c r="W72" s="1" t="s">
        <v>7</v>
      </c>
      <c r="X72" s="1">
        <f>WEEKDAY(tabela_cala[[#This Row],[rides.ride_date]],2)</f>
        <v>4</v>
      </c>
    </row>
    <row r="73" spans="1:24" x14ac:dyDescent="0.25">
      <c r="A73">
        <v>8</v>
      </c>
      <c r="B73" s="1" t="s">
        <v>60</v>
      </c>
      <c r="C73" s="1" t="s">
        <v>54</v>
      </c>
      <c r="D73" s="1" t="s">
        <v>61</v>
      </c>
      <c r="E73">
        <v>2019</v>
      </c>
      <c r="F73">
        <v>72</v>
      </c>
      <c r="G73">
        <v>9</v>
      </c>
      <c r="H73">
        <v>32</v>
      </c>
      <c r="I73" s="2">
        <v>45732</v>
      </c>
      <c r="J73">
        <v>4</v>
      </c>
      <c r="K73" s="1" t="s">
        <v>32</v>
      </c>
      <c r="L73" s="1" t="s">
        <v>33</v>
      </c>
      <c r="M73">
        <v>21</v>
      </c>
      <c r="N73">
        <v>8</v>
      </c>
      <c r="O73" s="1" t="s">
        <v>39</v>
      </c>
      <c r="P73" s="1" t="s">
        <v>35</v>
      </c>
      <c r="Q73">
        <v>18</v>
      </c>
      <c r="R73">
        <v>72</v>
      </c>
      <c r="S73">
        <v>4.93</v>
      </c>
      <c r="T73" s="1" t="s">
        <v>15</v>
      </c>
      <c r="U73" s="1" t="s">
        <v>6</v>
      </c>
      <c r="V73">
        <v>2019</v>
      </c>
      <c r="W73" s="1" t="s">
        <v>7</v>
      </c>
      <c r="X73" s="1">
        <f>WEEKDAY(tabela_cala[[#This Row],[rides.ride_date]],2)</f>
        <v>7</v>
      </c>
    </row>
    <row r="74" spans="1:24" x14ac:dyDescent="0.25">
      <c r="A74">
        <v>11</v>
      </c>
      <c r="B74" s="1" t="s">
        <v>64</v>
      </c>
      <c r="C74" s="1" t="s">
        <v>54</v>
      </c>
      <c r="D74" s="1" t="s">
        <v>48</v>
      </c>
      <c r="E74">
        <v>2025</v>
      </c>
      <c r="F74">
        <v>73</v>
      </c>
      <c r="G74">
        <v>13</v>
      </c>
      <c r="H74">
        <v>51</v>
      </c>
      <c r="I74" s="2">
        <v>45722</v>
      </c>
      <c r="J74">
        <v>1</v>
      </c>
      <c r="K74" s="1" t="s">
        <v>26</v>
      </c>
      <c r="L74" s="1" t="s">
        <v>27</v>
      </c>
      <c r="M74">
        <v>45</v>
      </c>
      <c r="N74">
        <v>7</v>
      </c>
      <c r="O74" s="1" t="s">
        <v>38</v>
      </c>
      <c r="P74" s="1" t="s">
        <v>31</v>
      </c>
      <c r="Q74">
        <v>44</v>
      </c>
      <c r="R74">
        <v>73</v>
      </c>
      <c r="S74">
        <v>10.77</v>
      </c>
      <c r="T74" s="1" t="s">
        <v>14</v>
      </c>
      <c r="U74" s="1" t="s">
        <v>9</v>
      </c>
      <c r="V74">
        <v>2024</v>
      </c>
      <c r="W74" s="1" t="s">
        <v>7</v>
      </c>
      <c r="X74" s="1">
        <f>WEEKDAY(tabela_cala[[#This Row],[rides.ride_date]],2)</f>
        <v>4</v>
      </c>
    </row>
    <row r="75" spans="1:24" x14ac:dyDescent="0.25">
      <c r="A75">
        <v>20</v>
      </c>
      <c r="B75" s="1" t="s">
        <v>75</v>
      </c>
      <c r="C75" s="1" t="s">
        <v>72</v>
      </c>
      <c r="D75" s="1" t="s">
        <v>50</v>
      </c>
      <c r="E75">
        <v>2020</v>
      </c>
      <c r="F75">
        <v>74</v>
      </c>
      <c r="G75">
        <v>18</v>
      </c>
      <c r="H75">
        <v>6</v>
      </c>
      <c r="I75" s="2">
        <v>45746</v>
      </c>
      <c r="J75">
        <v>8</v>
      </c>
      <c r="K75" s="1" t="s">
        <v>39</v>
      </c>
      <c r="L75" s="1" t="s">
        <v>35</v>
      </c>
      <c r="M75">
        <v>18</v>
      </c>
      <c r="N75">
        <v>3</v>
      </c>
      <c r="O75" s="1" t="s">
        <v>30</v>
      </c>
      <c r="P75" s="1" t="s">
        <v>31</v>
      </c>
      <c r="Q75">
        <v>27</v>
      </c>
      <c r="R75">
        <v>74</v>
      </c>
      <c r="S75">
        <v>12.99</v>
      </c>
      <c r="T75" s="1" t="s">
        <v>14</v>
      </c>
      <c r="U75" s="1" t="s">
        <v>4</v>
      </c>
      <c r="V75">
        <v>2022</v>
      </c>
      <c r="W75" s="1" t="s">
        <v>7</v>
      </c>
      <c r="X75" s="1">
        <f>WEEKDAY(tabela_cala[[#This Row],[rides.ride_date]],2)</f>
        <v>7</v>
      </c>
    </row>
    <row r="76" spans="1:24" x14ac:dyDescent="0.25">
      <c r="A76">
        <v>19</v>
      </c>
      <c r="B76" s="1" t="s">
        <v>73</v>
      </c>
      <c r="C76" s="1" t="s">
        <v>54</v>
      </c>
      <c r="D76" s="1" t="s">
        <v>74</v>
      </c>
      <c r="E76">
        <v>2025</v>
      </c>
      <c r="F76">
        <v>75</v>
      </c>
      <c r="G76">
        <v>1</v>
      </c>
      <c r="H76">
        <v>10</v>
      </c>
      <c r="I76" s="2">
        <v>45737</v>
      </c>
      <c r="J76">
        <v>7</v>
      </c>
      <c r="K76" s="1" t="s">
        <v>38</v>
      </c>
      <c r="L76" s="1" t="s">
        <v>31</v>
      </c>
      <c r="M76">
        <v>44</v>
      </c>
      <c r="N76">
        <v>10</v>
      </c>
      <c r="O76" s="1" t="s">
        <v>41</v>
      </c>
      <c r="P76" s="1" t="s">
        <v>33</v>
      </c>
      <c r="Q76">
        <v>40</v>
      </c>
      <c r="R76">
        <v>75</v>
      </c>
      <c r="S76">
        <v>3.17</v>
      </c>
      <c r="T76" s="1" t="s">
        <v>14</v>
      </c>
      <c r="U76" s="1" t="s">
        <v>4</v>
      </c>
      <c r="V76">
        <v>2018</v>
      </c>
      <c r="W76" s="1" t="s">
        <v>5</v>
      </c>
      <c r="X76" s="1">
        <f>WEEKDAY(tabela_cala[[#This Row],[rides.ride_date]],2)</f>
        <v>5</v>
      </c>
    </row>
    <row r="77" spans="1:24" x14ac:dyDescent="0.25">
      <c r="A77">
        <v>28</v>
      </c>
      <c r="B77" s="1" t="s">
        <v>84</v>
      </c>
      <c r="C77" s="1" t="s">
        <v>47</v>
      </c>
      <c r="D77" s="1" t="s">
        <v>48</v>
      </c>
      <c r="E77">
        <v>2025</v>
      </c>
      <c r="F77">
        <v>76</v>
      </c>
      <c r="G77">
        <v>15</v>
      </c>
      <c r="H77">
        <v>16</v>
      </c>
      <c r="I77" s="2">
        <v>45718</v>
      </c>
      <c r="J77">
        <v>7</v>
      </c>
      <c r="K77" s="1" t="s">
        <v>38</v>
      </c>
      <c r="L77" s="1" t="s">
        <v>31</v>
      </c>
      <c r="M77">
        <v>44</v>
      </c>
      <c r="N77">
        <v>3</v>
      </c>
      <c r="O77" s="1" t="s">
        <v>30</v>
      </c>
      <c r="P77" s="1" t="s">
        <v>31</v>
      </c>
      <c r="Q77">
        <v>27</v>
      </c>
      <c r="R77">
        <v>76</v>
      </c>
      <c r="S77">
        <v>5.44</v>
      </c>
      <c r="T77" s="1" t="s">
        <v>14</v>
      </c>
      <c r="U77" s="1" t="s">
        <v>9</v>
      </c>
      <c r="V77">
        <v>2020</v>
      </c>
      <c r="W77" s="1" t="s">
        <v>7</v>
      </c>
      <c r="X77" s="1">
        <f>WEEKDAY(tabela_cala[[#This Row],[rides.ride_date]],2)</f>
        <v>7</v>
      </c>
    </row>
    <row r="78" spans="1:24" x14ac:dyDescent="0.25">
      <c r="A78">
        <v>11</v>
      </c>
      <c r="B78" s="1" t="s">
        <v>64</v>
      </c>
      <c r="C78" s="1" t="s">
        <v>54</v>
      </c>
      <c r="D78" s="1" t="s">
        <v>48</v>
      </c>
      <c r="E78">
        <v>2025</v>
      </c>
      <c r="F78">
        <v>77</v>
      </c>
      <c r="G78">
        <v>7</v>
      </c>
      <c r="H78">
        <v>34</v>
      </c>
      <c r="I78" s="2">
        <v>45727</v>
      </c>
      <c r="J78">
        <v>5</v>
      </c>
      <c r="K78" s="1" t="s">
        <v>34</v>
      </c>
      <c r="L78" s="1" t="s">
        <v>35</v>
      </c>
      <c r="M78">
        <v>42</v>
      </c>
      <c r="N78">
        <v>7</v>
      </c>
      <c r="O78" s="1" t="s">
        <v>38</v>
      </c>
      <c r="P78" s="1" t="s">
        <v>31</v>
      </c>
      <c r="Q78">
        <v>44</v>
      </c>
      <c r="R78">
        <v>77</v>
      </c>
      <c r="S78">
        <v>6.79</v>
      </c>
      <c r="T78" s="1" t="s">
        <v>15</v>
      </c>
      <c r="U78" s="1" t="s">
        <v>6</v>
      </c>
      <c r="V78">
        <v>2018</v>
      </c>
      <c r="W78" s="1" t="s">
        <v>8</v>
      </c>
      <c r="X78" s="1">
        <f>WEEKDAY(tabela_cala[[#This Row],[rides.ride_date]],2)</f>
        <v>2</v>
      </c>
    </row>
    <row r="79" spans="1:24" x14ac:dyDescent="0.25">
      <c r="A79">
        <v>9</v>
      </c>
      <c r="B79" s="1" t="s">
        <v>62</v>
      </c>
      <c r="C79" s="1" t="s">
        <v>54</v>
      </c>
      <c r="D79" s="1" t="s">
        <v>61</v>
      </c>
      <c r="E79">
        <v>2025</v>
      </c>
      <c r="F79">
        <v>78</v>
      </c>
      <c r="G79">
        <v>14</v>
      </c>
      <c r="H79">
        <v>21</v>
      </c>
      <c r="I79" s="2">
        <v>45743</v>
      </c>
      <c r="J79">
        <v>6</v>
      </c>
      <c r="K79" s="1" t="s">
        <v>36</v>
      </c>
      <c r="L79" s="1" t="s">
        <v>37</v>
      </c>
      <c r="M79">
        <v>42</v>
      </c>
      <c r="N79">
        <v>7</v>
      </c>
      <c r="O79" s="1" t="s">
        <v>38</v>
      </c>
      <c r="P79" s="1" t="s">
        <v>31</v>
      </c>
      <c r="Q79">
        <v>44</v>
      </c>
      <c r="R79">
        <v>78</v>
      </c>
      <c r="S79">
        <v>5.41</v>
      </c>
      <c r="T79" s="1" t="s">
        <v>14</v>
      </c>
      <c r="U79" s="1" t="s">
        <v>4</v>
      </c>
      <c r="V79">
        <v>2018</v>
      </c>
      <c r="W79" s="1" t="s">
        <v>7</v>
      </c>
      <c r="X79" s="1">
        <f>WEEKDAY(tabela_cala[[#This Row],[rides.ride_date]],2)</f>
        <v>4</v>
      </c>
    </row>
    <row r="80" spans="1:24" x14ac:dyDescent="0.25">
      <c r="A80">
        <v>1</v>
      </c>
      <c r="B80" s="1" t="s">
        <v>46</v>
      </c>
      <c r="C80" s="1" t="s">
        <v>47</v>
      </c>
      <c r="D80" s="1" t="s">
        <v>48</v>
      </c>
      <c r="E80">
        <v>2020</v>
      </c>
      <c r="F80">
        <v>79</v>
      </c>
      <c r="G80">
        <v>18</v>
      </c>
      <c r="H80">
        <v>8</v>
      </c>
      <c r="I80" s="2">
        <v>45747</v>
      </c>
      <c r="J80">
        <v>2</v>
      </c>
      <c r="K80" s="1" t="s">
        <v>28</v>
      </c>
      <c r="L80" s="1" t="s">
        <v>29</v>
      </c>
      <c r="M80">
        <v>45</v>
      </c>
      <c r="N80">
        <v>8</v>
      </c>
      <c r="O80" s="1" t="s">
        <v>39</v>
      </c>
      <c r="P80" s="1" t="s">
        <v>35</v>
      </c>
      <c r="Q80">
        <v>18</v>
      </c>
      <c r="R80">
        <v>79</v>
      </c>
      <c r="S80">
        <v>10.3</v>
      </c>
      <c r="T80" s="1" t="s">
        <v>14</v>
      </c>
      <c r="U80" s="1" t="s">
        <v>4</v>
      </c>
      <c r="V80">
        <v>2022</v>
      </c>
      <c r="W80" s="1" t="s">
        <v>7</v>
      </c>
      <c r="X80" s="1">
        <f>WEEKDAY(tabela_cala[[#This Row],[rides.ride_date]],2)</f>
        <v>1</v>
      </c>
    </row>
    <row r="81" spans="1:24" x14ac:dyDescent="0.25">
      <c r="A81">
        <v>21</v>
      </c>
      <c r="B81" s="1" t="s">
        <v>76</v>
      </c>
      <c r="C81" s="1" t="s">
        <v>54</v>
      </c>
      <c r="D81" s="1" t="s">
        <v>58</v>
      </c>
      <c r="E81">
        <v>2022</v>
      </c>
      <c r="F81">
        <v>80</v>
      </c>
      <c r="G81">
        <v>3</v>
      </c>
      <c r="H81">
        <v>54</v>
      </c>
      <c r="I81" s="2">
        <v>45747</v>
      </c>
      <c r="J81">
        <v>6</v>
      </c>
      <c r="K81" s="1" t="s">
        <v>36</v>
      </c>
      <c r="L81" s="1" t="s">
        <v>37</v>
      </c>
      <c r="M81">
        <v>42</v>
      </c>
      <c r="N81">
        <v>4</v>
      </c>
      <c r="O81" s="1" t="s">
        <v>32</v>
      </c>
      <c r="P81" s="1" t="s">
        <v>33</v>
      </c>
      <c r="Q81">
        <v>21</v>
      </c>
      <c r="R81">
        <v>80</v>
      </c>
      <c r="S81">
        <v>10.77</v>
      </c>
      <c r="T81" s="1" t="s">
        <v>14</v>
      </c>
      <c r="U81" s="1" t="s">
        <v>4</v>
      </c>
      <c r="V81">
        <v>2017</v>
      </c>
      <c r="W81" s="1" t="s">
        <v>7</v>
      </c>
      <c r="X81" s="1">
        <f>WEEKDAY(tabela_cala[[#This Row],[rides.ride_date]],2)</f>
        <v>1</v>
      </c>
    </row>
    <row r="82" spans="1:24" x14ac:dyDescent="0.25">
      <c r="A82">
        <v>7</v>
      </c>
      <c r="B82" s="1" t="s">
        <v>59</v>
      </c>
      <c r="C82" s="1" t="s">
        <v>54</v>
      </c>
      <c r="D82" s="1" t="s">
        <v>52</v>
      </c>
      <c r="E82">
        <v>2021</v>
      </c>
      <c r="F82">
        <v>81</v>
      </c>
      <c r="G82">
        <v>1</v>
      </c>
      <c r="H82">
        <v>44</v>
      </c>
      <c r="I82" s="2">
        <v>45721</v>
      </c>
      <c r="J82">
        <v>1</v>
      </c>
      <c r="K82" s="1" t="s">
        <v>26</v>
      </c>
      <c r="L82" s="1" t="s">
        <v>27</v>
      </c>
      <c r="M82">
        <v>45</v>
      </c>
      <c r="N82">
        <v>4</v>
      </c>
      <c r="O82" s="1" t="s">
        <v>32</v>
      </c>
      <c r="P82" s="1" t="s">
        <v>33</v>
      </c>
      <c r="Q82">
        <v>21</v>
      </c>
      <c r="R82">
        <v>81</v>
      </c>
      <c r="S82">
        <v>10.050000000000001</v>
      </c>
      <c r="T82" s="1" t="s">
        <v>16</v>
      </c>
      <c r="U82" s="1" t="s">
        <v>4</v>
      </c>
      <c r="V82">
        <v>2018</v>
      </c>
      <c r="W82" s="1" t="s">
        <v>5</v>
      </c>
      <c r="X82" s="1">
        <f>WEEKDAY(tabela_cala[[#This Row],[rides.ride_date]],2)</f>
        <v>3</v>
      </c>
    </row>
    <row r="83" spans="1:24" x14ac:dyDescent="0.25">
      <c r="A83">
        <v>16</v>
      </c>
      <c r="B83" s="1" t="s">
        <v>69</v>
      </c>
      <c r="C83" s="1" t="s">
        <v>54</v>
      </c>
      <c r="D83" s="1" t="s">
        <v>48</v>
      </c>
      <c r="E83">
        <v>2024</v>
      </c>
      <c r="F83">
        <v>82</v>
      </c>
      <c r="G83">
        <v>4</v>
      </c>
      <c r="H83">
        <v>41</v>
      </c>
      <c r="I83" s="2">
        <v>45747</v>
      </c>
      <c r="J83">
        <v>4</v>
      </c>
      <c r="K83" s="1" t="s">
        <v>32</v>
      </c>
      <c r="L83" s="1" t="s">
        <v>33</v>
      </c>
      <c r="M83">
        <v>21</v>
      </c>
      <c r="N83">
        <v>3</v>
      </c>
      <c r="O83" s="1" t="s">
        <v>30</v>
      </c>
      <c r="P83" s="1" t="s">
        <v>31</v>
      </c>
      <c r="Q83">
        <v>27</v>
      </c>
      <c r="R83">
        <v>82</v>
      </c>
      <c r="S83">
        <v>6.26</v>
      </c>
      <c r="T83" s="1" t="s">
        <v>15</v>
      </c>
      <c r="U83" s="1" t="s">
        <v>6</v>
      </c>
      <c r="V83">
        <v>2017</v>
      </c>
      <c r="W83" s="1" t="s">
        <v>7</v>
      </c>
      <c r="X83" s="1">
        <f>WEEKDAY(tabela_cala[[#This Row],[rides.ride_date]],2)</f>
        <v>1</v>
      </c>
    </row>
    <row r="84" spans="1:24" x14ac:dyDescent="0.25">
      <c r="A84">
        <v>23</v>
      </c>
      <c r="B84" s="1" t="s">
        <v>79</v>
      </c>
      <c r="C84" s="1" t="s">
        <v>47</v>
      </c>
      <c r="D84" s="1" t="s">
        <v>52</v>
      </c>
      <c r="E84">
        <v>2023</v>
      </c>
      <c r="F84">
        <v>83</v>
      </c>
      <c r="G84">
        <v>9</v>
      </c>
      <c r="H84">
        <v>54</v>
      </c>
      <c r="I84" s="2">
        <v>45728</v>
      </c>
      <c r="J84">
        <v>4</v>
      </c>
      <c r="K84" s="1" t="s">
        <v>32</v>
      </c>
      <c r="L84" s="1" t="s">
        <v>33</v>
      </c>
      <c r="M84">
        <v>21</v>
      </c>
      <c r="N84">
        <v>8</v>
      </c>
      <c r="O84" s="1" t="s">
        <v>39</v>
      </c>
      <c r="P84" s="1" t="s">
        <v>35</v>
      </c>
      <c r="Q84">
        <v>18</v>
      </c>
      <c r="R84">
        <v>83</v>
      </c>
      <c r="S84">
        <v>10.42</v>
      </c>
      <c r="T84" s="1" t="s">
        <v>15</v>
      </c>
      <c r="U84" s="1" t="s">
        <v>6</v>
      </c>
      <c r="V84">
        <v>2019</v>
      </c>
      <c r="W84" s="1" t="s">
        <v>7</v>
      </c>
      <c r="X84" s="1">
        <f>WEEKDAY(tabela_cala[[#This Row],[rides.ride_date]],2)</f>
        <v>3</v>
      </c>
    </row>
    <row r="85" spans="1:24" x14ac:dyDescent="0.25">
      <c r="A85">
        <v>20</v>
      </c>
      <c r="B85" s="1" t="s">
        <v>75</v>
      </c>
      <c r="C85" s="1" t="s">
        <v>72</v>
      </c>
      <c r="D85" s="1" t="s">
        <v>50</v>
      </c>
      <c r="E85">
        <v>2020</v>
      </c>
      <c r="F85">
        <v>84</v>
      </c>
      <c r="G85">
        <v>4</v>
      </c>
      <c r="H85">
        <v>54</v>
      </c>
      <c r="I85" s="2">
        <v>45743</v>
      </c>
      <c r="J85">
        <v>3</v>
      </c>
      <c r="K85" s="1" t="s">
        <v>30</v>
      </c>
      <c r="L85" s="1" t="s">
        <v>31</v>
      </c>
      <c r="M85">
        <v>27</v>
      </c>
      <c r="N85">
        <v>10</v>
      </c>
      <c r="O85" s="1" t="s">
        <v>41</v>
      </c>
      <c r="P85" s="1" t="s">
        <v>33</v>
      </c>
      <c r="Q85">
        <v>40</v>
      </c>
      <c r="R85">
        <v>84</v>
      </c>
      <c r="S85">
        <v>8.0399999999999991</v>
      </c>
      <c r="T85" s="1" t="s">
        <v>15</v>
      </c>
      <c r="U85" s="1" t="s">
        <v>6</v>
      </c>
      <c r="V85">
        <v>2017</v>
      </c>
      <c r="W85" s="1" t="s">
        <v>7</v>
      </c>
      <c r="X85" s="1">
        <f>WEEKDAY(tabela_cala[[#This Row],[rides.ride_date]],2)</f>
        <v>4</v>
      </c>
    </row>
    <row r="86" spans="1:24" x14ac:dyDescent="0.25">
      <c r="A86">
        <v>4</v>
      </c>
      <c r="B86" s="1" t="s">
        <v>53</v>
      </c>
      <c r="C86" s="1" t="s">
        <v>54</v>
      </c>
      <c r="D86" s="1" t="s">
        <v>55</v>
      </c>
      <c r="E86">
        <v>2023</v>
      </c>
      <c r="F86">
        <v>85</v>
      </c>
      <c r="G86">
        <v>19</v>
      </c>
      <c r="H86">
        <v>6</v>
      </c>
      <c r="I86" s="2">
        <v>45746</v>
      </c>
      <c r="J86">
        <v>3</v>
      </c>
      <c r="K86" s="1" t="s">
        <v>30</v>
      </c>
      <c r="L86" s="1" t="s">
        <v>31</v>
      </c>
      <c r="M86">
        <v>27</v>
      </c>
      <c r="N86">
        <v>5</v>
      </c>
      <c r="O86" s="1" t="s">
        <v>34</v>
      </c>
      <c r="P86" s="1" t="s">
        <v>35</v>
      </c>
      <c r="Q86">
        <v>42</v>
      </c>
      <c r="R86">
        <v>85</v>
      </c>
      <c r="S86">
        <v>10.44</v>
      </c>
      <c r="T86" s="1" t="s">
        <v>14</v>
      </c>
      <c r="U86" s="1" t="s">
        <v>4</v>
      </c>
      <c r="V86">
        <v>2021</v>
      </c>
      <c r="W86" s="1" t="s">
        <v>7</v>
      </c>
      <c r="X86" s="1">
        <f>WEEKDAY(tabela_cala[[#This Row],[rides.ride_date]],2)</f>
        <v>7</v>
      </c>
    </row>
    <row r="87" spans="1:24" x14ac:dyDescent="0.25">
      <c r="A87">
        <v>22</v>
      </c>
      <c r="B87" s="1" t="s">
        <v>77</v>
      </c>
      <c r="C87" s="1" t="s">
        <v>72</v>
      </c>
      <c r="D87" s="1" t="s">
        <v>78</v>
      </c>
      <c r="E87">
        <v>2020</v>
      </c>
      <c r="F87">
        <v>86</v>
      </c>
      <c r="G87">
        <v>13</v>
      </c>
      <c r="H87">
        <v>30</v>
      </c>
      <c r="I87" s="2">
        <v>45747</v>
      </c>
      <c r="J87">
        <v>5</v>
      </c>
      <c r="K87" s="1" t="s">
        <v>34</v>
      </c>
      <c r="L87" s="1" t="s">
        <v>35</v>
      </c>
      <c r="M87">
        <v>42</v>
      </c>
      <c r="N87">
        <v>10</v>
      </c>
      <c r="O87" s="1" t="s">
        <v>41</v>
      </c>
      <c r="P87" s="1" t="s">
        <v>33</v>
      </c>
      <c r="Q87">
        <v>40</v>
      </c>
      <c r="R87">
        <v>86</v>
      </c>
      <c r="S87">
        <v>2.59</v>
      </c>
      <c r="T87" s="1" t="s">
        <v>14</v>
      </c>
      <c r="U87" s="1" t="s">
        <v>9</v>
      </c>
      <c r="V87">
        <v>2024</v>
      </c>
      <c r="W87" s="1" t="s">
        <v>7</v>
      </c>
      <c r="X87" s="1">
        <f>WEEKDAY(tabela_cala[[#This Row],[rides.ride_date]],2)</f>
        <v>1</v>
      </c>
    </row>
    <row r="88" spans="1:24" x14ac:dyDescent="0.25">
      <c r="A88">
        <v>19</v>
      </c>
      <c r="B88" s="1" t="s">
        <v>73</v>
      </c>
      <c r="C88" s="1" t="s">
        <v>54</v>
      </c>
      <c r="D88" s="1" t="s">
        <v>74</v>
      </c>
      <c r="E88">
        <v>2025</v>
      </c>
      <c r="F88">
        <v>87</v>
      </c>
      <c r="G88">
        <v>8</v>
      </c>
      <c r="H88">
        <v>11</v>
      </c>
      <c r="I88" s="2">
        <v>45739</v>
      </c>
      <c r="J88">
        <v>4</v>
      </c>
      <c r="K88" s="1" t="s">
        <v>32</v>
      </c>
      <c r="L88" s="1" t="s">
        <v>33</v>
      </c>
      <c r="M88">
        <v>21</v>
      </c>
      <c r="N88">
        <v>2</v>
      </c>
      <c r="O88" s="1" t="s">
        <v>28</v>
      </c>
      <c r="P88" s="1" t="s">
        <v>29</v>
      </c>
      <c r="Q88">
        <v>45</v>
      </c>
      <c r="R88">
        <v>87</v>
      </c>
      <c r="S88">
        <v>14.95</v>
      </c>
      <c r="T88" s="1" t="s">
        <v>14</v>
      </c>
      <c r="U88" s="1" t="s">
        <v>9</v>
      </c>
      <c r="V88">
        <v>2019</v>
      </c>
      <c r="W88" s="1" t="s">
        <v>7</v>
      </c>
      <c r="X88" s="1">
        <f>WEEKDAY(tabela_cala[[#This Row],[rides.ride_date]],2)</f>
        <v>7</v>
      </c>
    </row>
    <row r="89" spans="1:24" x14ac:dyDescent="0.25">
      <c r="A89">
        <v>26</v>
      </c>
      <c r="B89" s="1" t="s">
        <v>82</v>
      </c>
      <c r="C89" s="1" t="s">
        <v>47</v>
      </c>
      <c r="D89" s="1" t="s">
        <v>50</v>
      </c>
      <c r="E89">
        <v>2022</v>
      </c>
      <c r="F89">
        <v>88</v>
      </c>
      <c r="G89">
        <v>4</v>
      </c>
      <c r="H89">
        <v>55</v>
      </c>
      <c r="I89" s="2">
        <v>45735</v>
      </c>
      <c r="J89">
        <v>5</v>
      </c>
      <c r="K89" s="1" t="s">
        <v>34</v>
      </c>
      <c r="L89" s="1" t="s">
        <v>35</v>
      </c>
      <c r="M89">
        <v>42</v>
      </c>
      <c r="N89">
        <v>10</v>
      </c>
      <c r="O89" s="1" t="s">
        <v>41</v>
      </c>
      <c r="P89" s="1" t="s">
        <v>33</v>
      </c>
      <c r="Q89">
        <v>40</v>
      </c>
      <c r="R89">
        <v>88</v>
      </c>
      <c r="S89">
        <v>5.05</v>
      </c>
      <c r="T89" s="1" t="s">
        <v>14</v>
      </c>
      <c r="U89" s="1" t="s">
        <v>6</v>
      </c>
      <c r="V89">
        <v>2017</v>
      </c>
      <c r="W89" s="1" t="s">
        <v>7</v>
      </c>
      <c r="X89" s="1">
        <f>WEEKDAY(tabela_cala[[#This Row],[rides.ride_date]],2)</f>
        <v>3</v>
      </c>
    </row>
    <row r="90" spans="1:24" x14ac:dyDescent="0.25">
      <c r="A90">
        <v>18</v>
      </c>
      <c r="B90" s="1" t="s">
        <v>71</v>
      </c>
      <c r="C90" s="1" t="s">
        <v>72</v>
      </c>
      <c r="D90" s="1" t="s">
        <v>55</v>
      </c>
      <c r="E90">
        <v>2024</v>
      </c>
      <c r="F90">
        <v>89</v>
      </c>
      <c r="G90">
        <v>14</v>
      </c>
      <c r="H90">
        <v>47</v>
      </c>
      <c r="I90" s="2">
        <v>45728</v>
      </c>
      <c r="J90">
        <v>1</v>
      </c>
      <c r="K90" s="1" t="s">
        <v>26</v>
      </c>
      <c r="L90" s="1" t="s">
        <v>27</v>
      </c>
      <c r="M90">
        <v>45</v>
      </c>
      <c r="N90">
        <v>6</v>
      </c>
      <c r="O90" s="1" t="s">
        <v>36</v>
      </c>
      <c r="P90" s="1" t="s">
        <v>37</v>
      </c>
      <c r="Q90">
        <v>42</v>
      </c>
      <c r="R90">
        <v>89</v>
      </c>
      <c r="S90">
        <v>7.05</v>
      </c>
      <c r="T90" s="1" t="s">
        <v>14</v>
      </c>
      <c r="U90" s="1" t="s">
        <v>4</v>
      </c>
      <c r="V90">
        <v>2018</v>
      </c>
      <c r="W90" s="1" t="s">
        <v>7</v>
      </c>
      <c r="X90" s="1">
        <f>WEEKDAY(tabela_cala[[#This Row],[rides.ride_date]],2)</f>
        <v>3</v>
      </c>
    </row>
    <row r="91" spans="1:24" x14ac:dyDescent="0.25">
      <c r="A91">
        <v>21</v>
      </c>
      <c r="B91" s="1" t="s">
        <v>76</v>
      </c>
      <c r="C91" s="1" t="s">
        <v>54</v>
      </c>
      <c r="D91" s="1" t="s">
        <v>58</v>
      </c>
      <c r="E91">
        <v>2022</v>
      </c>
      <c r="F91">
        <v>90</v>
      </c>
      <c r="G91">
        <v>11</v>
      </c>
      <c r="H91">
        <v>5</v>
      </c>
      <c r="I91" s="2">
        <v>45744</v>
      </c>
      <c r="J91">
        <v>2</v>
      </c>
      <c r="K91" s="1" t="s">
        <v>28</v>
      </c>
      <c r="L91" s="1" t="s">
        <v>29</v>
      </c>
      <c r="M91">
        <v>45</v>
      </c>
      <c r="N91">
        <v>9</v>
      </c>
      <c r="O91" s="1" t="s">
        <v>40</v>
      </c>
      <c r="P91" s="1" t="s">
        <v>35</v>
      </c>
      <c r="Q91">
        <v>21</v>
      </c>
      <c r="R91">
        <v>90</v>
      </c>
      <c r="S91">
        <v>14.34</v>
      </c>
      <c r="T91" s="1" t="s">
        <v>15</v>
      </c>
      <c r="U91" s="1" t="s">
        <v>9</v>
      </c>
      <c r="V91">
        <v>2020</v>
      </c>
      <c r="W91" s="1" t="s">
        <v>5</v>
      </c>
      <c r="X91" s="1">
        <f>WEEKDAY(tabela_cala[[#This Row],[rides.ride_date]],2)</f>
        <v>5</v>
      </c>
    </row>
    <row r="92" spans="1:24" x14ac:dyDescent="0.25">
      <c r="A92">
        <v>4</v>
      </c>
      <c r="B92" s="1" t="s">
        <v>53</v>
      </c>
      <c r="C92" s="1" t="s">
        <v>54</v>
      </c>
      <c r="D92" s="1" t="s">
        <v>55</v>
      </c>
      <c r="E92">
        <v>2023</v>
      </c>
      <c r="F92">
        <v>91</v>
      </c>
      <c r="G92">
        <v>14</v>
      </c>
      <c r="H92">
        <v>28</v>
      </c>
      <c r="I92" s="2">
        <v>45737</v>
      </c>
      <c r="J92">
        <v>7</v>
      </c>
      <c r="K92" s="1" t="s">
        <v>38</v>
      </c>
      <c r="L92" s="1" t="s">
        <v>31</v>
      </c>
      <c r="M92">
        <v>44</v>
      </c>
      <c r="N92">
        <v>8</v>
      </c>
      <c r="O92" s="1" t="s">
        <v>39</v>
      </c>
      <c r="P92" s="1" t="s">
        <v>35</v>
      </c>
      <c r="Q92">
        <v>18</v>
      </c>
      <c r="R92">
        <v>91</v>
      </c>
      <c r="S92">
        <v>9.02</v>
      </c>
      <c r="T92" s="1" t="s">
        <v>14</v>
      </c>
      <c r="U92" s="1" t="s">
        <v>4</v>
      </c>
      <c r="V92">
        <v>2018</v>
      </c>
      <c r="W92" s="1" t="s">
        <v>7</v>
      </c>
      <c r="X92" s="1">
        <f>WEEKDAY(tabela_cala[[#This Row],[rides.ride_date]],2)</f>
        <v>5</v>
      </c>
    </row>
    <row r="93" spans="1:24" x14ac:dyDescent="0.25">
      <c r="A93">
        <v>14</v>
      </c>
      <c r="B93" s="1" t="s">
        <v>67</v>
      </c>
      <c r="C93" s="1" t="s">
        <v>54</v>
      </c>
      <c r="D93" s="1" t="s">
        <v>50</v>
      </c>
      <c r="E93">
        <v>2022</v>
      </c>
      <c r="F93">
        <v>92</v>
      </c>
      <c r="G93">
        <v>6</v>
      </c>
      <c r="H93">
        <v>51</v>
      </c>
      <c r="I93" s="2">
        <v>45733</v>
      </c>
      <c r="J93">
        <v>8</v>
      </c>
      <c r="K93" s="1" t="s">
        <v>39</v>
      </c>
      <c r="L93" s="1" t="s">
        <v>35</v>
      </c>
      <c r="M93">
        <v>18</v>
      </c>
      <c r="N93">
        <v>3</v>
      </c>
      <c r="O93" s="1" t="s">
        <v>30</v>
      </c>
      <c r="P93" s="1" t="s">
        <v>31</v>
      </c>
      <c r="Q93">
        <v>27</v>
      </c>
      <c r="R93">
        <v>92</v>
      </c>
      <c r="S93">
        <v>11.45</v>
      </c>
      <c r="T93" s="1" t="s">
        <v>15</v>
      </c>
      <c r="U93" s="1" t="s">
        <v>4</v>
      </c>
      <c r="V93">
        <v>2018</v>
      </c>
      <c r="W93" s="1" t="s">
        <v>7</v>
      </c>
      <c r="X93" s="1">
        <f>WEEKDAY(tabela_cala[[#This Row],[rides.ride_date]],2)</f>
        <v>1</v>
      </c>
    </row>
    <row r="94" spans="1:24" x14ac:dyDescent="0.25">
      <c r="A94">
        <v>26</v>
      </c>
      <c r="B94" s="1" t="s">
        <v>82</v>
      </c>
      <c r="C94" s="1" t="s">
        <v>47</v>
      </c>
      <c r="D94" s="1" t="s">
        <v>50</v>
      </c>
      <c r="E94">
        <v>2022</v>
      </c>
      <c r="F94">
        <v>93</v>
      </c>
      <c r="G94">
        <v>18</v>
      </c>
      <c r="H94">
        <v>54</v>
      </c>
      <c r="I94" s="2">
        <v>45732</v>
      </c>
      <c r="J94">
        <v>5</v>
      </c>
      <c r="K94" s="1" t="s">
        <v>34</v>
      </c>
      <c r="L94" s="1" t="s">
        <v>35</v>
      </c>
      <c r="M94">
        <v>42</v>
      </c>
      <c r="N94">
        <v>10</v>
      </c>
      <c r="O94" s="1" t="s">
        <v>41</v>
      </c>
      <c r="P94" s="1" t="s">
        <v>33</v>
      </c>
      <c r="Q94">
        <v>40</v>
      </c>
      <c r="R94">
        <v>93</v>
      </c>
      <c r="S94">
        <v>10.51</v>
      </c>
      <c r="T94" s="1" t="s">
        <v>15</v>
      </c>
      <c r="U94" s="1" t="s">
        <v>4</v>
      </c>
      <c r="V94">
        <v>2022</v>
      </c>
      <c r="W94" s="1" t="s">
        <v>7</v>
      </c>
      <c r="X94" s="1">
        <f>WEEKDAY(tabela_cala[[#This Row],[rides.ride_date]],2)</f>
        <v>7</v>
      </c>
    </row>
    <row r="95" spans="1:24" x14ac:dyDescent="0.25">
      <c r="A95">
        <v>27</v>
      </c>
      <c r="B95" s="1" t="s">
        <v>83</v>
      </c>
      <c r="C95" s="1" t="s">
        <v>47</v>
      </c>
      <c r="D95" s="1" t="s">
        <v>48</v>
      </c>
      <c r="E95">
        <v>2023</v>
      </c>
      <c r="F95">
        <v>94</v>
      </c>
      <c r="G95">
        <v>19</v>
      </c>
      <c r="H95">
        <v>22</v>
      </c>
      <c r="I95" s="2">
        <v>45727</v>
      </c>
      <c r="J95">
        <v>8</v>
      </c>
      <c r="K95" s="1" t="s">
        <v>39</v>
      </c>
      <c r="L95" s="1" t="s">
        <v>35</v>
      </c>
      <c r="M95">
        <v>18</v>
      </c>
      <c r="N95">
        <v>7</v>
      </c>
      <c r="O95" s="1" t="s">
        <v>38</v>
      </c>
      <c r="P95" s="1" t="s">
        <v>31</v>
      </c>
      <c r="Q95">
        <v>44</v>
      </c>
      <c r="R95">
        <v>94</v>
      </c>
      <c r="S95">
        <v>10</v>
      </c>
      <c r="T95" s="1" t="s">
        <v>16</v>
      </c>
      <c r="U95" s="1" t="s">
        <v>4</v>
      </c>
      <c r="V95">
        <v>2021</v>
      </c>
      <c r="W95" s="1" t="s">
        <v>7</v>
      </c>
      <c r="X95" s="1">
        <f>WEEKDAY(tabela_cala[[#This Row],[rides.ride_date]],2)</f>
        <v>2</v>
      </c>
    </row>
    <row r="96" spans="1:24" x14ac:dyDescent="0.25">
      <c r="A96">
        <v>9</v>
      </c>
      <c r="B96" s="1" t="s">
        <v>62</v>
      </c>
      <c r="C96" s="1" t="s">
        <v>54</v>
      </c>
      <c r="D96" s="1" t="s">
        <v>61</v>
      </c>
      <c r="E96">
        <v>2025</v>
      </c>
      <c r="F96">
        <v>95</v>
      </c>
      <c r="G96">
        <v>15</v>
      </c>
      <c r="H96">
        <v>20</v>
      </c>
      <c r="I96" s="2">
        <v>45741</v>
      </c>
      <c r="J96">
        <v>4</v>
      </c>
      <c r="K96" s="1" t="s">
        <v>32</v>
      </c>
      <c r="L96" s="1" t="s">
        <v>33</v>
      </c>
      <c r="M96">
        <v>21</v>
      </c>
      <c r="N96">
        <v>2</v>
      </c>
      <c r="O96" s="1" t="s">
        <v>28</v>
      </c>
      <c r="P96" s="1" t="s">
        <v>29</v>
      </c>
      <c r="Q96">
        <v>45</v>
      </c>
      <c r="R96">
        <v>95</v>
      </c>
      <c r="S96">
        <v>5.64</v>
      </c>
      <c r="T96" s="1" t="s">
        <v>15</v>
      </c>
      <c r="U96" s="1" t="s">
        <v>9</v>
      </c>
      <c r="V96">
        <v>2020</v>
      </c>
      <c r="W96" s="1" t="s">
        <v>7</v>
      </c>
      <c r="X96" s="1">
        <f>WEEKDAY(tabela_cala[[#This Row],[rides.ride_date]],2)</f>
        <v>2</v>
      </c>
    </row>
    <row r="97" spans="1:24" x14ac:dyDescent="0.25">
      <c r="A97">
        <v>20</v>
      </c>
      <c r="B97" s="1" t="s">
        <v>75</v>
      </c>
      <c r="C97" s="1" t="s">
        <v>72</v>
      </c>
      <c r="D97" s="1" t="s">
        <v>50</v>
      </c>
      <c r="E97">
        <v>2020</v>
      </c>
      <c r="F97">
        <v>96</v>
      </c>
      <c r="G97">
        <v>13</v>
      </c>
      <c r="H97">
        <v>26</v>
      </c>
      <c r="I97" s="2">
        <v>45717</v>
      </c>
      <c r="J97">
        <v>8</v>
      </c>
      <c r="K97" s="1" t="s">
        <v>39</v>
      </c>
      <c r="L97" s="1" t="s">
        <v>35</v>
      </c>
      <c r="M97">
        <v>18</v>
      </c>
      <c r="N97">
        <v>10</v>
      </c>
      <c r="O97" s="1" t="s">
        <v>41</v>
      </c>
      <c r="P97" s="1" t="s">
        <v>33</v>
      </c>
      <c r="Q97">
        <v>40</v>
      </c>
      <c r="R97">
        <v>96</v>
      </c>
      <c r="S97">
        <v>4.82</v>
      </c>
      <c r="T97" s="1" t="s">
        <v>14</v>
      </c>
      <c r="U97" s="1" t="s">
        <v>9</v>
      </c>
      <c r="V97">
        <v>2024</v>
      </c>
      <c r="W97" s="1" t="s">
        <v>7</v>
      </c>
      <c r="X97" s="1">
        <f>WEEKDAY(tabela_cala[[#This Row],[rides.ride_date]],2)</f>
        <v>6</v>
      </c>
    </row>
    <row r="98" spans="1:24" x14ac:dyDescent="0.25">
      <c r="A98">
        <v>6</v>
      </c>
      <c r="B98" s="1" t="s">
        <v>57</v>
      </c>
      <c r="C98" s="1" t="s">
        <v>54</v>
      </c>
      <c r="D98" s="1" t="s">
        <v>58</v>
      </c>
      <c r="E98">
        <v>2023</v>
      </c>
      <c r="F98">
        <v>97</v>
      </c>
      <c r="G98">
        <v>16</v>
      </c>
      <c r="H98">
        <v>18</v>
      </c>
      <c r="I98" s="2">
        <v>45728</v>
      </c>
      <c r="J98">
        <v>8</v>
      </c>
      <c r="K98" s="1" t="s">
        <v>39</v>
      </c>
      <c r="L98" s="1" t="s">
        <v>35</v>
      </c>
      <c r="M98">
        <v>18</v>
      </c>
      <c r="N98">
        <v>6</v>
      </c>
      <c r="O98" s="1" t="s">
        <v>36</v>
      </c>
      <c r="P98" s="1" t="s">
        <v>37</v>
      </c>
      <c r="Q98">
        <v>42</v>
      </c>
      <c r="R98">
        <v>97</v>
      </c>
      <c r="S98">
        <v>5.07</v>
      </c>
      <c r="T98" s="1" t="s">
        <v>14</v>
      </c>
      <c r="U98" s="1" t="s">
        <v>4</v>
      </c>
      <c r="V98">
        <v>2018</v>
      </c>
      <c r="W98" s="1" t="s">
        <v>5</v>
      </c>
      <c r="X98" s="1">
        <f>WEEKDAY(tabela_cala[[#This Row],[rides.ride_date]],2)</f>
        <v>3</v>
      </c>
    </row>
    <row r="99" spans="1:24" x14ac:dyDescent="0.25">
      <c r="A99">
        <v>9</v>
      </c>
      <c r="B99" s="1" t="s">
        <v>62</v>
      </c>
      <c r="C99" s="1" t="s">
        <v>54</v>
      </c>
      <c r="D99" s="1" t="s">
        <v>61</v>
      </c>
      <c r="E99">
        <v>2025</v>
      </c>
      <c r="F99">
        <v>98</v>
      </c>
      <c r="G99">
        <v>20</v>
      </c>
      <c r="H99">
        <v>49</v>
      </c>
      <c r="I99" s="2">
        <v>45745</v>
      </c>
      <c r="J99">
        <v>5</v>
      </c>
      <c r="K99" s="1" t="s">
        <v>34</v>
      </c>
      <c r="L99" s="1" t="s">
        <v>35</v>
      </c>
      <c r="M99">
        <v>42</v>
      </c>
      <c r="N99">
        <v>6</v>
      </c>
      <c r="O99" s="1" t="s">
        <v>36</v>
      </c>
      <c r="P99" s="1" t="s">
        <v>37</v>
      </c>
      <c r="Q99">
        <v>42</v>
      </c>
      <c r="R99">
        <v>98</v>
      </c>
      <c r="S99">
        <v>14.75</v>
      </c>
      <c r="T99" s="1" t="s">
        <v>14</v>
      </c>
      <c r="U99" s="1" t="s">
        <v>4</v>
      </c>
      <c r="V99">
        <v>2019</v>
      </c>
      <c r="W99" s="1" t="s">
        <v>5</v>
      </c>
      <c r="X99" s="1">
        <f>WEEKDAY(tabela_cala[[#This Row],[rides.ride_date]],2)</f>
        <v>6</v>
      </c>
    </row>
    <row r="100" spans="1:24" x14ac:dyDescent="0.25">
      <c r="A100">
        <v>1</v>
      </c>
      <c r="B100" s="1" t="s">
        <v>46</v>
      </c>
      <c r="C100" s="1" t="s">
        <v>47</v>
      </c>
      <c r="D100" s="1" t="s">
        <v>48</v>
      </c>
      <c r="E100">
        <v>2020</v>
      </c>
      <c r="F100">
        <v>99</v>
      </c>
      <c r="G100">
        <v>17</v>
      </c>
      <c r="H100">
        <v>17</v>
      </c>
      <c r="I100" s="2">
        <v>45719</v>
      </c>
      <c r="J100">
        <v>5</v>
      </c>
      <c r="K100" s="1" t="s">
        <v>34</v>
      </c>
      <c r="L100" s="1" t="s">
        <v>35</v>
      </c>
      <c r="M100">
        <v>42</v>
      </c>
      <c r="N100">
        <v>9</v>
      </c>
      <c r="O100" s="1" t="s">
        <v>40</v>
      </c>
      <c r="P100" s="1" t="s">
        <v>35</v>
      </c>
      <c r="Q100">
        <v>21</v>
      </c>
      <c r="R100">
        <v>99</v>
      </c>
      <c r="S100">
        <v>13.72</v>
      </c>
      <c r="T100" s="1" t="s">
        <v>15</v>
      </c>
      <c r="U100" s="1" t="s">
        <v>4</v>
      </c>
      <c r="V100">
        <v>2020</v>
      </c>
      <c r="W100" s="1" t="s">
        <v>7</v>
      </c>
      <c r="X100" s="1">
        <f>WEEKDAY(tabela_cala[[#This Row],[rides.ride_date]],2)</f>
        <v>1</v>
      </c>
    </row>
    <row r="101" spans="1:24" x14ac:dyDescent="0.25">
      <c r="A101">
        <v>16</v>
      </c>
      <c r="B101" s="1" t="s">
        <v>69</v>
      </c>
      <c r="C101" s="1" t="s">
        <v>54</v>
      </c>
      <c r="D101" s="1" t="s">
        <v>48</v>
      </c>
      <c r="E101">
        <v>2024</v>
      </c>
      <c r="F101">
        <v>100</v>
      </c>
      <c r="G101">
        <v>18</v>
      </c>
      <c r="H101">
        <v>53</v>
      </c>
      <c r="I101" s="2">
        <v>45724</v>
      </c>
      <c r="J101">
        <v>4</v>
      </c>
      <c r="K101" s="1" t="s">
        <v>32</v>
      </c>
      <c r="L101" s="1" t="s">
        <v>33</v>
      </c>
      <c r="M101">
        <v>21</v>
      </c>
      <c r="N101">
        <v>7</v>
      </c>
      <c r="O101" s="1" t="s">
        <v>38</v>
      </c>
      <c r="P101" s="1" t="s">
        <v>31</v>
      </c>
      <c r="Q101">
        <v>44</v>
      </c>
      <c r="R101">
        <v>100</v>
      </c>
      <c r="S101">
        <v>2.79</v>
      </c>
      <c r="T101" s="1" t="s">
        <v>14</v>
      </c>
      <c r="U101" s="1" t="s">
        <v>4</v>
      </c>
      <c r="V101">
        <v>2022</v>
      </c>
      <c r="W101" s="1" t="s">
        <v>7</v>
      </c>
      <c r="X101" s="1">
        <f>WEEKDAY(tabela_cala[[#This Row],[rides.ride_date]],2)</f>
        <v>6</v>
      </c>
    </row>
    <row r="102" spans="1:24" x14ac:dyDescent="0.25">
      <c r="A102">
        <v>3</v>
      </c>
      <c r="B102" s="1" t="s">
        <v>51</v>
      </c>
      <c r="C102" s="1" t="s">
        <v>47</v>
      </c>
      <c r="D102" s="1" t="s">
        <v>52</v>
      </c>
      <c r="E102">
        <v>2019</v>
      </c>
      <c r="F102">
        <v>101</v>
      </c>
      <c r="G102">
        <v>10</v>
      </c>
      <c r="H102">
        <v>19</v>
      </c>
      <c r="I102" s="2">
        <v>45729</v>
      </c>
      <c r="J102">
        <v>8</v>
      </c>
      <c r="K102" s="1" t="s">
        <v>39</v>
      </c>
      <c r="L102" s="1" t="s">
        <v>35</v>
      </c>
      <c r="M102">
        <v>18</v>
      </c>
      <c r="N102">
        <v>1</v>
      </c>
      <c r="O102" s="1" t="s">
        <v>26</v>
      </c>
      <c r="P102" s="1" t="s">
        <v>27</v>
      </c>
      <c r="Q102">
        <v>45</v>
      </c>
      <c r="R102">
        <v>101</v>
      </c>
      <c r="S102">
        <v>14.59</v>
      </c>
      <c r="T102" s="1" t="s">
        <v>16</v>
      </c>
      <c r="U102" s="1" t="s">
        <v>9</v>
      </c>
      <c r="V102">
        <v>2023</v>
      </c>
      <c r="W102" s="1" t="s">
        <v>8</v>
      </c>
      <c r="X102" s="1">
        <f>WEEKDAY(tabela_cala[[#This Row],[rides.ride_date]],2)</f>
        <v>4</v>
      </c>
    </row>
    <row r="103" spans="1:24" x14ac:dyDescent="0.25">
      <c r="A103">
        <v>22</v>
      </c>
      <c r="B103" s="1" t="s">
        <v>77</v>
      </c>
      <c r="C103" s="1" t="s">
        <v>72</v>
      </c>
      <c r="D103" s="1" t="s">
        <v>78</v>
      </c>
      <c r="E103">
        <v>2020</v>
      </c>
      <c r="F103">
        <v>102</v>
      </c>
      <c r="G103">
        <v>19</v>
      </c>
      <c r="H103">
        <v>28</v>
      </c>
      <c r="I103" s="2">
        <v>45732</v>
      </c>
      <c r="J103">
        <v>4</v>
      </c>
      <c r="K103" s="1" t="s">
        <v>32</v>
      </c>
      <c r="L103" s="1" t="s">
        <v>33</v>
      </c>
      <c r="M103">
        <v>21</v>
      </c>
      <c r="N103">
        <v>5</v>
      </c>
      <c r="O103" s="1" t="s">
        <v>34</v>
      </c>
      <c r="P103" s="1" t="s">
        <v>35</v>
      </c>
      <c r="Q103">
        <v>42</v>
      </c>
      <c r="R103">
        <v>102</v>
      </c>
      <c r="S103">
        <v>12.71</v>
      </c>
      <c r="T103" s="1" t="s">
        <v>14</v>
      </c>
      <c r="U103" s="1" t="s">
        <v>4</v>
      </c>
      <c r="V103">
        <v>2021</v>
      </c>
      <c r="W103" s="1" t="s">
        <v>7</v>
      </c>
      <c r="X103" s="1">
        <f>WEEKDAY(tabela_cala[[#This Row],[rides.ride_date]],2)</f>
        <v>7</v>
      </c>
    </row>
    <row r="104" spans="1:24" x14ac:dyDescent="0.25">
      <c r="A104">
        <v>14</v>
      </c>
      <c r="B104" s="1" t="s">
        <v>67</v>
      </c>
      <c r="C104" s="1" t="s">
        <v>54</v>
      </c>
      <c r="D104" s="1" t="s">
        <v>50</v>
      </c>
      <c r="E104">
        <v>2022</v>
      </c>
      <c r="F104">
        <v>103</v>
      </c>
      <c r="G104">
        <v>18</v>
      </c>
      <c r="H104">
        <v>26</v>
      </c>
      <c r="I104" s="2">
        <v>45728</v>
      </c>
      <c r="J104">
        <v>9</v>
      </c>
      <c r="K104" s="1" t="s">
        <v>40</v>
      </c>
      <c r="L104" s="1" t="s">
        <v>35</v>
      </c>
      <c r="M104">
        <v>21</v>
      </c>
      <c r="N104">
        <v>6</v>
      </c>
      <c r="O104" s="1" t="s">
        <v>36</v>
      </c>
      <c r="P104" s="1" t="s">
        <v>37</v>
      </c>
      <c r="Q104">
        <v>42</v>
      </c>
      <c r="R104">
        <v>103</v>
      </c>
      <c r="S104">
        <v>4.76</v>
      </c>
      <c r="T104" s="1" t="s">
        <v>15</v>
      </c>
      <c r="U104" s="1" t="s">
        <v>4</v>
      </c>
      <c r="V104">
        <v>2022</v>
      </c>
      <c r="W104" s="1" t="s">
        <v>7</v>
      </c>
      <c r="X104" s="1">
        <f>WEEKDAY(tabela_cala[[#This Row],[rides.ride_date]],2)</f>
        <v>3</v>
      </c>
    </row>
    <row r="105" spans="1:24" x14ac:dyDescent="0.25">
      <c r="A105">
        <v>10</v>
      </c>
      <c r="B105" s="1" t="s">
        <v>63</v>
      </c>
      <c r="C105" s="1" t="s">
        <v>54</v>
      </c>
      <c r="D105" s="1" t="s">
        <v>58</v>
      </c>
      <c r="E105">
        <v>2023</v>
      </c>
      <c r="F105">
        <v>104</v>
      </c>
      <c r="G105">
        <v>9</v>
      </c>
      <c r="H105">
        <v>19</v>
      </c>
      <c r="I105" s="2">
        <v>45720</v>
      </c>
      <c r="J105">
        <v>8</v>
      </c>
      <c r="K105" s="1" t="s">
        <v>39</v>
      </c>
      <c r="L105" s="1" t="s">
        <v>35</v>
      </c>
      <c r="M105">
        <v>18</v>
      </c>
      <c r="N105">
        <v>5</v>
      </c>
      <c r="O105" s="1" t="s">
        <v>34</v>
      </c>
      <c r="P105" s="1" t="s">
        <v>35</v>
      </c>
      <c r="Q105">
        <v>42</v>
      </c>
      <c r="R105">
        <v>104</v>
      </c>
      <c r="S105">
        <v>14.62</v>
      </c>
      <c r="T105" s="1" t="s">
        <v>14</v>
      </c>
      <c r="U105" s="1" t="s">
        <v>6</v>
      </c>
      <c r="V105">
        <v>2019</v>
      </c>
      <c r="W105" s="1" t="s">
        <v>7</v>
      </c>
      <c r="X105" s="1">
        <f>WEEKDAY(tabela_cala[[#This Row],[rides.ride_date]],2)</f>
        <v>2</v>
      </c>
    </row>
    <row r="106" spans="1:24" x14ac:dyDescent="0.25">
      <c r="A106">
        <v>4</v>
      </c>
      <c r="B106" s="1" t="s">
        <v>53</v>
      </c>
      <c r="C106" s="1" t="s">
        <v>54</v>
      </c>
      <c r="D106" s="1" t="s">
        <v>55</v>
      </c>
      <c r="E106">
        <v>2023</v>
      </c>
      <c r="F106">
        <v>105</v>
      </c>
      <c r="G106">
        <v>18</v>
      </c>
      <c r="H106">
        <v>53</v>
      </c>
      <c r="I106" s="2">
        <v>45739</v>
      </c>
      <c r="J106">
        <v>4</v>
      </c>
      <c r="K106" s="1" t="s">
        <v>32</v>
      </c>
      <c r="L106" s="1" t="s">
        <v>33</v>
      </c>
      <c r="M106">
        <v>21</v>
      </c>
      <c r="N106">
        <v>6</v>
      </c>
      <c r="O106" s="1" t="s">
        <v>36</v>
      </c>
      <c r="P106" s="1" t="s">
        <v>37</v>
      </c>
      <c r="Q106">
        <v>42</v>
      </c>
      <c r="R106">
        <v>105</v>
      </c>
      <c r="S106">
        <v>6.34</v>
      </c>
      <c r="T106" s="1" t="s">
        <v>16</v>
      </c>
      <c r="U106" s="1" t="s">
        <v>4</v>
      </c>
      <c r="V106">
        <v>2022</v>
      </c>
      <c r="W106" s="1" t="s">
        <v>7</v>
      </c>
      <c r="X106" s="1">
        <f>WEEKDAY(tabela_cala[[#This Row],[rides.ride_date]],2)</f>
        <v>7</v>
      </c>
    </row>
    <row r="107" spans="1:24" x14ac:dyDescent="0.25">
      <c r="A107">
        <v>7</v>
      </c>
      <c r="B107" s="1" t="s">
        <v>59</v>
      </c>
      <c r="C107" s="1" t="s">
        <v>54</v>
      </c>
      <c r="D107" s="1" t="s">
        <v>52</v>
      </c>
      <c r="E107">
        <v>2021</v>
      </c>
      <c r="F107">
        <v>106</v>
      </c>
      <c r="G107">
        <v>16</v>
      </c>
      <c r="H107">
        <v>22</v>
      </c>
      <c r="I107" s="2">
        <v>45740</v>
      </c>
      <c r="J107">
        <v>3</v>
      </c>
      <c r="K107" s="1" t="s">
        <v>30</v>
      </c>
      <c r="L107" s="1" t="s">
        <v>31</v>
      </c>
      <c r="M107">
        <v>27</v>
      </c>
      <c r="N107">
        <v>4</v>
      </c>
      <c r="O107" s="1" t="s">
        <v>32</v>
      </c>
      <c r="P107" s="1" t="s">
        <v>33</v>
      </c>
      <c r="Q107">
        <v>21</v>
      </c>
      <c r="R107">
        <v>106</v>
      </c>
      <c r="S107">
        <v>12.23</v>
      </c>
      <c r="T107" s="1" t="s">
        <v>14</v>
      </c>
      <c r="U107" s="1" t="s">
        <v>4</v>
      </c>
      <c r="V107">
        <v>2018</v>
      </c>
      <c r="W107" s="1" t="s">
        <v>5</v>
      </c>
      <c r="X107" s="1">
        <f>WEEKDAY(tabela_cala[[#This Row],[rides.ride_date]],2)</f>
        <v>1</v>
      </c>
    </row>
    <row r="108" spans="1:24" x14ac:dyDescent="0.25">
      <c r="A108">
        <v>20</v>
      </c>
      <c r="B108" s="1" t="s">
        <v>75</v>
      </c>
      <c r="C108" s="1" t="s">
        <v>72</v>
      </c>
      <c r="D108" s="1" t="s">
        <v>50</v>
      </c>
      <c r="E108">
        <v>2020</v>
      </c>
      <c r="F108">
        <v>107</v>
      </c>
      <c r="G108">
        <v>10</v>
      </c>
      <c r="H108">
        <v>11</v>
      </c>
      <c r="I108" s="2">
        <v>45743</v>
      </c>
      <c r="J108">
        <v>10</v>
      </c>
      <c r="K108" s="1" t="s">
        <v>41</v>
      </c>
      <c r="L108" s="1" t="s">
        <v>33</v>
      </c>
      <c r="M108">
        <v>40</v>
      </c>
      <c r="N108">
        <v>9</v>
      </c>
      <c r="O108" s="1" t="s">
        <v>40</v>
      </c>
      <c r="P108" s="1" t="s">
        <v>35</v>
      </c>
      <c r="Q108">
        <v>21</v>
      </c>
      <c r="R108">
        <v>107</v>
      </c>
      <c r="S108">
        <v>12.79</v>
      </c>
      <c r="T108" s="1" t="s">
        <v>14</v>
      </c>
      <c r="U108" s="1" t="s">
        <v>9</v>
      </c>
      <c r="V108">
        <v>2023</v>
      </c>
      <c r="W108" s="1" t="s">
        <v>8</v>
      </c>
      <c r="X108" s="1">
        <f>WEEKDAY(tabela_cala[[#This Row],[rides.ride_date]],2)</f>
        <v>4</v>
      </c>
    </row>
    <row r="109" spans="1:24" x14ac:dyDescent="0.25">
      <c r="A109">
        <v>8</v>
      </c>
      <c r="B109" s="1" t="s">
        <v>60</v>
      </c>
      <c r="C109" s="1" t="s">
        <v>54</v>
      </c>
      <c r="D109" s="1" t="s">
        <v>61</v>
      </c>
      <c r="E109">
        <v>2019</v>
      </c>
      <c r="F109">
        <v>108</v>
      </c>
      <c r="G109">
        <v>12</v>
      </c>
      <c r="H109">
        <v>16</v>
      </c>
      <c r="I109" s="2">
        <v>45726</v>
      </c>
      <c r="J109">
        <v>4</v>
      </c>
      <c r="K109" s="1" t="s">
        <v>32</v>
      </c>
      <c r="L109" s="1" t="s">
        <v>33</v>
      </c>
      <c r="M109">
        <v>21</v>
      </c>
      <c r="N109">
        <v>5</v>
      </c>
      <c r="O109" s="1" t="s">
        <v>34</v>
      </c>
      <c r="P109" s="1" t="s">
        <v>35</v>
      </c>
      <c r="Q109">
        <v>42</v>
      </c>
      <c r="R109">
        <v>108</v>
      </c>
      <c r="S109">
        <v>9.6199999999999992</v>
      </c>
      <c r="T109" s="1" t="s">
        <v>15</v>
      </c>
      <c r="U109" s="1" t="s">
        <v>6</v>
      </c>
      <c r="V109">
        <v>2022</v>
      </c>
      <c r="W109" s="1" t="s">
        <v>7</v>
      </c>
      <c r="X109" s="1">
        <f>WEEKDAY(tabela_cala[[#This Row],[rides.ride_date]],2)</f>
        <v>1</v>
      </c>
    </row>
    <row r="110" spans="1:24" x14ac:dyDescent="0.25">
      <c r="A110">
        <v>5</v>
      </c>
      <c r="B110" s="1" t="s">
        <v>56</v>
      </c>
      <c r="C110" s="1" t="s">
        <v>47</v>
      </c>
      <c r="D110" s="1" t="s">
        <v>55</v>
      </c>
      <c r="E110">
        <v>2024</v>
      </c>
      <c r="F110">
        <v>109</v>
      </c>
      <c r="G110">
        <v>9</v>
      </c>
      <c r="H110">
        <v>7</v>
      </c>
      <c r="I110" s="2">
        <v>45718</v>
      </c>
      <c r="J110">
        <v>1</v>
      </c>
      <c r="K110" s="1" t="s">
        <v>26</v>
      </c>
      <c r="L110" s="1" t="s">
        <v>27</v>
      </c>
      <c r="M110">
        <v>45</v>
      </c>
      <c r="N110">
        <v>9</v>
      </c>
      <c r="O110" s="1" t="s">
        <v>40</v>
      </c>
      <c r="P110" s="1" t="s">
        <v>35</v>
      </c>
      <c r="Q110">
        <v>21</v>
      </c>
      <c r="R110">
        <v>109</v>
      </c>
      <c r="S110">
        <v>5.03</v>
      </c>
      <c r="T110" s="1" t="s">
        <v>15</v>
      </c>
      <c r="U110" s="1" t="s">
        <v>6</v>
      </c>
      <c r="V110">
        <v>2019</v>
      </c>
      <c r="W110" s="1" t="s">
        <v>7</v>
      </c>
      <c r="X110" s="1">
        <f>WEEKDAY(tabela_cala[[#This Row],[rides.ride_date]],2)</f>
        <v>7</v>
      </c>
    </row>
    <row r="111" spans="1:24" x14ac:dyDescent="0.25">
      <c r="A111">
        <v>23</v>
      </c>
      <c r="B111" s="1" t="s">
        <v>79</v>
      </c>
      <c r="C111" s="1" t="s">
        <v>47</v>
      </c>
      <c r="D111" s="1" t="s">
        <v>52</v>
      </c>
      <c r="E111">
        <v>2023</v>
      </c>
      <c r="F111">
        <v>110</v>
      </c>
      <c r="G111">
        <v>5</v>
      </c>
      <c r="H111">
        <v>45</v>
      </c>
      <c r="I111" s="2">
        <v>45744</v>
      </c>
      <c r="J111">
        <v>9</v>
      </c>
      <c r="K111" s="1" t="s">
        <v>40</v>
      </c>
      <c r="L111" s="1" t="s">
        <v>35</v>
      </c>
      <c r="M111">
        <v>21</v>
      </c>
      <c r="N111">
        <v>5</v>
      </c>
      <c r="O111" s="1" t="s">
        <v>34</v>
      </c>
      <c r="P111" s="1" t="s">
        <v>35</v>
      </c>
      <c r="Q111">
        <v>42</v>
      </c>
      <c r="R111">
        <v>110</v>
      </c>
      <c r="S111">
        <v>12.25</v>
      </c>
      <c r="T111" s="1" t="s">
        <v>14</v>
      </c>
      <c r="U111" s="1" t="s">
        <v>6</v>
      </c>
      <c r="V111">
        <v>2021</v>
      </c>
      <c r="W111" s="1" t="s">
        <v>7</v>
      </c>
      <c r="X111" s="1">
        <f>WEEKDAY(tabela_cala[[#This Row],[rides.ride_date]],2)</f>
        <v>5</v>
      </c>
    </row>
    <row r="112" spans="1:24" x14ac:dyDescent="0.25">
      <c r="A112">
        <v>28</v>
      </c>
      <c r="B112" s="1" t="s">
        <v>84</v>
      </c>
      <c r="C112" s="1" t="s">
        <v>47</v>
      </c>
      <c r="D112" s="1" t="s">
        <v>48</v>
      </c>
      <c r="E112">
        <v>2025</v>
      </c>
      <c r="F112">
        <v>111</v>
      </c>
      <c r="G112">
        <v>1</v>
      </c>
      <c r="H112">
        <v>41</v>
      </c>
      <c r="I112" s="2">
        <v>45726</v>
      </c>
      <c r="J112">
        <v>8</v>
      </c>
      <c r="K112" s="1" t="s">
        <v>39</v>
      </c>
      <c r="L112" s="1" t="s">
        <v>35</v>
      </c>
      <c r="M112">
        <v>18</v>
      </c>
      <c r="N112">
        <v>2</v>
      </c>
      <c r="O112" s="1" t="s">
        <v>28</v>
      </c>
      <c r="P112" s="1" t="s">
        <v>29</v>
      </c>
      <c r="Q112">
        <v>45</v>
      </c>
      <c r="R112">
        <v>111</v>
      </c>
      <c r="S112">
        <v>5.6</v>
      </c>
      <c r="T112" s="1" t="s">
        <v>16</v>
      </c>
      <c r="U112" s="1" t="s">
        <v>4</v>
      </c>
      <c r="V112">
        <v>2018</v>
      </c>
      <c r="W112" s="1" t="s">
        <v>5</v>
      </c>
      <c r="X112" s="1">
        <f>WEEKDAY(tabela_cala[[#This Row],[rides.ride_date]],2)</f>
        <v>1</v>
      </c>
    </row>
    <row r="113" spans="1:24" x14ac:dyDescent="0.25">
      <c r="A113">
        <v>6</v>
      </c>
      <c r="B113" s="1" t="s">
        <v>57</v>
      </c>
      <c r="C113" s="1" t="s">
        <v>54</v>
      </c>
      <c r="D113" s="1" t="s">
        <v>58</v>
      </c>
      <c r="E113">
        <v>2023</v>
      </c>
      <c r="F113">
        <v>112</v>
      </c>
      <c r="G113">
        <v>2</v>
      </c>
      <c r="H113">
        <v>21</v>
      </c>
      <c r="I113" s="2">
        <v>45747</v>
      </c>
      <c r="J113">
        <v>8</v>
      </c>
      <c r="K113" s="1" t="s">
        <v>39</v>
      </c>
      <c r="L113" s="1" t="s">
        <v>35</v>
      </c>
      <c r="M113">
        <v>18</v>
      </c>
      <c r="N113">
        <v>6</v>
      </c>
      <c r="O113" s="1" t="s">
        <v>36</v>
      </c>
      <c r="P113" s="1" t="s">
        <v>37</v>
      </c>
      <c r="Q113">
        <v>42</v>
      </c>
      <c r="R113">
        <v>112</v>
      </c>
      <c r="S113">
        <v>14.84</v>
      </c>
      <c r="T113" s="1" t="s">
        <v>14</v>
      </c>
      <c r="U113" s="1" t="s">
        <v>6</v>
      </c>
      <c r="V113">
        <v>2020</v>
      </c>
      <c r="W113" s="1" t="s">
        <v>7</v>
      </c>
      <c r="X113" s="1">
        <f>WEEKDAY(tabela_cala[[#This Row],[rides.ride_date]],2)</f>
        <v>1</v>
      </c>
    </row>
    <row r="114" spans="1:24" x14ac:dyDescent="0.25">
      <c r="A114">
        <v>27</v>
      </c>
      <c r="B114" s="1" t="s">
        <v>83</v>
      </c>
      <c r="C114" s="1" t="s">
        <v>47</v>
      </c>
      <c r="D114" s="1" t="s">
        <v>48</v>
      </c>
      <c r="E114">
        <v>2023</v>
      </c>
      <c r="F114">
        <v>113</v>
      </c>
      <c r="G114">
        <v>3</v>
      </c>
      <c r="H114">
        <v>30</v>
      </c>
      <c r="I114" s="2">
        <v>45732</v>
      </c>
      <c r="J114">
        <v>8</v>
      </c>
      <c r="K114" s="1" t="s">
        <v>39</v>
      </c>
      <c r="L114" s="1" t="s">
        <v>35</v>
      </c>
      <c r="M114">
        <v>18</v>
      </c>
      <c r="N114">
        <v>2</v>
      </c>
      <c r="O114" s="1" t="s">
        <v>28</v>
      </c>
      <c r="P114" s="1" t="s">
        <v>29</v>
      </c>
      <c r="Q114">
        <v>45</v>
      </c>
      <c r="R114">
        <v>113</v>
      </c>
      <c r="S114">
        <v>12.38</v>
      </c>
      <c r="T114" s="1" t="s">
        <v>14</v>
      </c>
      <c r="U114" s="1" t="s">
        <v>4</v>
      </c>
      <c r="V114">
        <v>2017</v>
      </c>
      <c r="W114" s="1" t="s">
        <v>7</v>
      </c>
      <c r="X114" s="1">
        <f>WEEKDAY(tabela_cala[[#This Row],[rides.ride_date]],2)</f>
        <v>7</v>
      </c>
    </row>
    <row r="115" spans="1:24" x14ac:dyDescent="0.25">
      <c r="A115">
        <v>21</v>
      </c>
      <c r="B115" s="1" t="s">
        <v>76</v>
      </c>
      <c r="C115" s="1" t="s">
        <v>54</v>
      </c>
      <c r="D115" s="1" t="s">
        <v>58</v>
      </c>
      <c r="E115">
        <v>2022</v>
      </c>
      <c r="F115">
        <v>114</v>
      </c>
      <c r="G115">
        <v>2</v>
      </c>
      <c r="H115">
        <v>14</v>
      </c>
      <c r="I115" s="2">
        <v>45721</v>
      </c>
      <c r="J115">
        <v>2</v>
      </c>
      <c r="K115" s="1" t="s">
        <v>28</v>
      </c>
      <c r="L115" s="1" t="s">
        <v>29</v>
      </c>
      <c r="M115">
        <v>45</v>
      </c>
      <c r="N115">
        <v>10</v>
      </c>
      <c r="O115" s="1" t="s">
        <v>41</v>
      </c>
      <c r="P115" s="1" t="s">
        <v>33</v>
      </c>
      <c r="Q115">
        <v>40</v>
      </c>
      <c r="R115">
        <v>114</v>
      </c>
      <c r="S115">
        <v>13.26</v>
      </c>
      <c r="T115" s="1" t="s">
        <v>14</v>
      </c>
      <c r="U115" s="1" t="s">
        <v>6</v>
      </c>
      <c r="V115">
        <v>2020</v>
      </c>
      <c r="W115" s="1" t="s">
        <v>7</v>
      </c>
      <c r="X115" s="1">
        <f>WEEKDAY(tabela_cala[[#This Row],[rides.ride_date]],2)</f>
        <v>3</v>
      </c>
    </row>
    <row r="116" spans="1:24" x14ac:dyDescent="0.25">
      <c r="A116">
        <v>3</v>
      </c>
      <c r="B116" s="1" t="s">
        <v>51</v>
      </c>
      <c r="C116" s="1" t="s">
        <v>47</v>
      </c>
      <c r="D116" s="1" t="s">
        <v>52</v>
      </c>
      <c r="E116">
        <v>2019</v>
      </c>
      <c r="F116">
        <v>115</v>
      </c>
      <c r="G116">
        <v>8</v>
      </c>
      <c r="H116">
        <v>12</v>
      </c>
      <c r="I116" s="2">
        <v>45734</v>
      </c>
      <c r="J116">
        <v>10</v>
      </c>
      <c r="K116" s="1" t="s">
        <v>41</v>
      </c>
      <c r="L116" s="1" t="s">
        <v>33</v>
      </c>
      <c r="M116">
        <v>40</v>
      </c>
      <c r="N116">
        <v>5</v>
      </c>
      <c r="O116" s="1" t="s">
        <v>34</v>
      </c>
      <c r="P116" s="1" t="s">
        <v>35</v>
      </c>
      <c r="Q116">
        <v>42</v>
      </c>
      <c r="R116">
        <v>115</v>
      </c>
      <c r="S116">
        <v>6.66</v>
      </c>
      <c r="T116" s="1" t="s">
        <v>15</v>
      </c>
      <c r="U116" s="1" t="s">
        <v>9</v>
      </c>
      <c r="V116">
        <v>2019</v>
      </c>
      <c r="W116" s="1" t="s">
        <v>7</v>
      </c>
      <c r="X116" s="1">
        <f>WEEKDAY(tabela_cala[[#This Row],[rides.ride_date]],2)</f>
        <v>2</v>
      </c>
    </row>
    <row r="117" spans="1:24" x14ac:dyDescent="0.25">
      <c r="A117">
        <v>20</v>
      </c>
      <c r="B117" s="1" t="s">
        <v>75</v>
      </c>
      <c r="C117" s="1" t="s">
        <v>72</v>
      </c>
      <c r="D117" s="1" t="s">
        <v>50</v>
      </c>
      <c r="E117">
        <v>2020</v>
      </c>
      <c r="F117">
        <v>116</v>
      </c>
      <c r="G117">
        <v>20</v>
      </c>
      <c r="H117">
        <v>19</v>
      </c>
      <c r="I117" s="2">
        <v>45741</v>
      </c>
      <c r="J117">
        <v>7</v>
      </c>
      <c r="K117" s="1" t="s">
        <v>38</v>
      </c>
      <c r="L117" s="1" t="s">
        <v>31</v>
      </c>
      <c r="M117">
        <v>44</v>
      </c>
      <c r="N117">
        <v>10</v>
      </c>
      <c r="O117" s="1" t="s">
        <v>41</v>
      </c>
      <c r="P117" s="1" t="s">
        <v>33</v>
      </c>
      <c r="Q117">
        <v>40</v>
      </c>
      <c r="R117">
        <v>116</v>
      </c>
      <c r="S117">
        <v>9.66</v>
      </c>
      <c r="T117" s="1" t="s">
        <v>14</v>
      </c>
      <c r="U117" s="1" t="s">
        <v>4</v>
      </c>
      <c r="V117">
        <v>2019</v>
      </c>
      <c r="W117" s="1" t="s">
        <v>5</v>
      </c>
      <c r="X117" s="1">
        <f>WEEKDAY(tabela_cala[[#This Row],[rides.ride_date]],2)</f>
        <v>2</v>
      </c>
    </row>
    <row r="118" spans="1:24" x14ac:dyDescent="0.25">
      <c r="A118">
        <v>15</v>
      </c>
      <c r="B118" s="1" t="s">
        <v>68</v>
      </c>
      <c r="C118" s="1" t="s">
        <v>47</v>
      </c>
      <c r="D118" s="1" t="s">
        <v>61</v>
      </c>
      <c r="E118">
        <v>2020</v>
      </c>
      <c r="F118">
        <v>117</v>
      </c>
      <c r="G118">
        <v>15</v>
      </c>
      <c r="H118">
        <v>24</v>
      </c>
      <c r="I118" s="2">
        <v>45744</v>
      </c>
      <c r="J118">
        <v>9</v>
      </c>
      <c r="K118" s="1" t="s">
        <v>40</v>
      </c>
      <c r="L118" s="1" t="s">
        <v>35</v>
      </c>
      <c r="M118">
        <v>21</v>
      </c>
      <c r="N118">
        <v>7</v>
      </c>
      <c r="O118" s="1" t="s">
        <v>38</v>
      </c>
      <c r="P118" s="1" t="s">
        <v>31</v>
      </c>
      <c r="Q118">
        <v>44</v>
      </c>
      <c r="R118">
        <v>117</v>
      </c>
      <c r="S118">
        <v>5.45</v>
      </c>
      <c r="T118" s="1" t="s">
        <v>14</v>
      </c>
      <c r="U118" s="1" t="s">
        <v>9</v>
      </c>
      <c r="V118">
        <v>2020</v>
      </c>
      <c r="W118" s="1" t="s">
        <v>7</v>
      </c>
      <c r="X118" s="1">
        <f>WEEKDAY(tabela_cala[[#This Row],[rides.ride_date]],2)</f>
        <v>5</v>
      </c>
    </row>
    <row r="119" spans="1:24" x14ac:dyDescent="0.25">
      <c r="A119">
        <v>10</v>
      </c>
      <c r="B119" s="1" t="s">
        <v>63</v>
      </c>
      <c r="C119" s="1" t="s">
        <v>54</v>
      </c>
      <c r="D119" s="1" t="s">
        <v>58</v>
      </c>
      <c r="E119">
        <v>2023</v>
      </c>
      <c r="F119">
        <v>118</v>
      </c>
      <c r="G119">
        <v>19</v>
      </c>
      <c r="H119">
        <v>44</v>
      </c>
      <c r="I119" s="2">
        <v>45718</v>
      </c>
      <c r="J119">
        <v>10</v>
      </c>
      <c r="K119" s="1" t="s">
        <v>41</v>
      </c>
      <c r="L119" s="1" t="s">
        <v>33</v>
      </c>
      <c r="M119">
        <v>40</v>
      </c>
      <c r="N119">
        <v>7</v>
      </c>
      <c r="O119" s="1" t="s">
        <v>38</v>
      </c>
      <c r="P119" s="1" t="s">
        <v>31</v>
      </c>
      <c r="Q119">
        <v>44</v>
      </c>
      <c r="R119">
        <v>118</v>
      </c>
      <c r="S119">
        <v>7.47</v>
      </c>
      <c r="T119" s="1" t="s">
        <v>14</v>
      </c>
      <c r="U119" s="1" t="s">
        <v>4</v>
      </c>
      <c r="V119">
        <v>2021</v>
      </c>
      <c r="W119" s="1" t="s">
        <v>7</v>
      </c>
      <c r="X119" s="1">
        <f>WEEKDAY(tabela_cala[[#This Row],[rides.ride_date]],2)</f>
        <v>7</v>
      </c>
    </row>
    <row r="120" spans="1:24" x14ac:dyDescent="0.25">
      <c r="A120">
        <v>25</v>
      </c>
      <c r="B120" s="1" t="s">
        <v>81</v>
      </c>
      <c r="C120" s="1" t="s">
        <v>54</v>
      </c>
      <c r="D120" s="1" t="s">
        <v>50</v>
      </c>
      <c r="E120">
        <v>2020</v>
      </c>
      <c r="F120">
        <v>119</v>
      </c>
      <c r="G120">
        <v>7</v>
      </c>
      <c r="H120">
        <v>45</v>
      </c>
      <c r="I120" s="2">
        <v>45723</v>
      </c>
      <c r="J120">
        <v>10</v>
      </c>
      <c r="K120" s="1" t="s">
        <v>41</v>
      </c>
      <c r="L120" s="1" t="s">
        <v>33</v>
      </c>
      <c r="M120">
        <v>40</v>
      </c>
      <c r="N120">
        <v>2</v>
      </c>
      <c r="O120" s="1" t="s">
        <v>28</v>
      </c>
      <c r="P120" s="1" t="s">
        <v>29</v>
      </c>
      <c r="Q120">
        <v>45</v>
      </c>
      <c r="R120">
        <v>119</v>
      </c>
      <c r="S120">
        <v>2.83</v>
      </c>
      <c r="T120" s="1" t="s">
        <v>14</v>
      </c>
      <c r="U120" s="1" t="s">
        <v>6</v>
      </c>
      <c r="V120">
        <v>2018</v>
      </c>
      <c r="W120" s="1" t="s">
        <v>8</v>
      </c>
      <c r="X120" s="1">
        <f>WEEKDAY(tabela_cala[[#This Row],[rides.ride_date]],2)</f>
        <v>5</v>
      </c>
    </row>
    <row r="121" spans="1:24" x14ac:dyDescent="0.25">
      <c r="A121">
        <v>6</v>
      </c>
      <c r="B121" s="1" t="s">
        <v>57</v>
      </c>
      <c r="C121" s="1" t="s">
        <v>54</v>
      </c>
      <c r="D121" s="1" t="s">
        <v>58</v>
      </c>
      <c r="E121">
        <v>2023</v>
      </c>
      <c r="F121">
        <v>120</v>
      </c>
      <c r="G121">
        <v>8</v>
      </c>
      <c r="H121">
        <v>16</v>
      </c>
      <c r="I121" s="2">
        <v>45734</v>
      </c>
      <c r="J121">
        <v>5</v>
      </c>
      <c r="K121" s="1" t="s">
        <v>34</v>
      </c>
      <c r="L121" s="1" t="s">
        <v>35</v>
      </c>
      <c r="M121">
        <v>42</v>
      </c>
      <c r="N121">
        <v>2</v>
      </c>
      <c r="O121" s="1" t="s">
        <v>28</v>
      </c>
      <c r="P121" s="1" t="s">
        <v>29</v>
      </c>
      <c r="Q121">
        <v>45</v>
      </c>
      <c r="R121">
        <v>120</v>
      </c>
      <c r="S121">
        <v>6.71</v>
      </c>
      <c r="T121" s="1" t="s">
        <v>14</v>
      </c>
      <c r="U121" s="1" t="s">
        <v>9</v>
      </c>
      <c r="V121">
        <v>2019</v>
      </c>
      <c r="W121" s="1" t="s">
        <v>7</v>
      </c>
      <c r="X121" s="1">
        <f>WEEKDAY(tabela_cala[[#This Row],[rides.ride_date]],2)</f>
        <v>2</v>
      </c>
    </row>
    <row r="122" spans="1:24" x14ac:dyDescent="0.25">
      <c r="A122">
        <v>1</v>
      </c>
      <c r="B122" s="1" t="s">
        <v>46</v>
      </c>
      <c r="C122" s="1" t="s">
        <v>47</v>
      </c>
      <c r="D122" s="1" t="s">
        <v>48</v>
      </c>
      <c r="E122">
        <v>2020</v>
      </c>
      <c r="F122">
        <v>121</v>
      </c>
      <c r="G122">
        <v>14</v>
      </c>
      <c r="H122">
        <v>33</v>
      </c>
      <c r="I122" s="2">
        <v>45739</v>
      </c>
      <c r="J122">
        <v>2</v>
      </c>
      <c r="K122" s="1" t="s">
        <v>28</v>
      </c>
      <c r="L122" s="1" t="s">
        <v>29</v>
      </c>
      <c r="M122">
        <v>45</v>
      </c>
      <c r="N122">
        <v>3</v>
      </c>
      <c r="O122" s="1" t="s">
        <v>30</v>
      </c>
      <c r="P122" s="1" t="s">
        <v>31</v>
      </c>
      <c r="Q122">
        <v>27</v>
      </c>
      <c r="R122">
        <v>121</v>
      </c>
      <c r="S122">
        <v>7.88</v>
      </c>
      <c r="T122" s="1" t="s">
        <v>14</v>
      </c>
      <c r="U122" s="1" t="s">
        <v>4</v>
      </c>
      <c r="V122">
        <v>2018</v>
      </c>
      <c r="W122" s="1" t="s">
        <v>7</v>
      </c>
      <c r="X122" s="1">
        <f>WEEKDAY(tabela_cala[[#This Row],[rides.ride_date]],2)</f>
        <v>7</v>
      </c>
    </row>
    <row r="123" spans="1:24" x14ac:dyDescent="0.25">
      <c r="A123">
        <v>10</v>
      </c>
      <c r="B123" s="1" t="s">
        <v>63</v>
      </c>
      <c r="C123" s="1" t="s">
        <v>54</v>
      </c>
      <c r="D123" s="1" t="s">
        <v>58</v>
      </c>
      <c r="E123">
        <v>2023</v>
      </c>
      <c r="F123">
        <v>122</v>
      </c>
      <c r="G123">
        <v>2</v>
      </c>
      <c r="H123">
        <v>19</v>
      </c>
      <c r="I123" s="2">
        <v>45726</v>
      </c>
      <c r="J123">
        <v>10</v>
      </c>
      <c r="K123" s="1" t="s">
        <v>41</v>
      </c>
      <c r="L123" s="1" t="s">
        <v>33</v>
      </c>
      <c r="M123">
        <v>40</v>
      </c>
      <c r="N123">
        <v>8</v>
      </c>
      <c r="O123" s="1" t="s">
        <v>39</v>
      </c>
      <c r="P123" s="1" t="s">
        <v>35</v>
      </c>
      <c r="Q123">
        <v>18</v>
      </c>
      <c r="R123">
        <v>122</v>
      </c>
      <c r="S123">
        <v>10</v>
      </c>
      <c r="T123" s="1" t="s">
        <v>15</v>
      </c>
      <c r="U123" s="1" t="s">
        <v>6</v>
      </c>
      <c r="V123">
        <v>2020</v>
      </c>
      <c r="W123" s="1" t="s">
        <v>7</v>
      </c>
      <c r="X123" s="1">
        <f>WEEKDAY(tabela_cala[[#This Row],[rides.ride_date]],2)</f>
        <v>1</v>
      </c>
    </row>
    <row r="124" spans="1:24" x14ac:dyDescent="0.25">
      <c r="A124">
        <v>3</v>
      </c>
      <c r="B124" s="1" t="s">
        <v>51</v>
      </c>
      <c r="C124" s="1" t="s">
        <v>47</v>
      </c>
      <c r="D124" s="1" t="s">
        <v>52</v>
      </c>
      <c r="E124">
        <v>2019</v>
      </c>
      <c r="F124">
        <v>123</v>
      </c>
      <c r="G124">
        <v>8</v>
      </c>
      <c r="H124">
        <v>21</v>
      </c>
      <c r="I124" s="2">
        <v>45742</v>
      </c>
      <c r="J124">
        <v>5</v>
      </c>
      <c r="K124" s="1" t="s">
        <v>34</v>
      </c>
      <c r="L124" s="1" t="s">
        <v>35</v>
      </c>
      <c r="M124">
        <v>42</v>
      </c>
      <c r="N124">
        <v>8</v>
      </c>
      <c r="O124" s="1" t="s">
        <v>39</v>
      </c>
      <c r="P124" s="1" t="s">
        <v>35</v>
      </c>
      <c r="Q124">
        <v>18</v>
      </c>
      <c r="R124">
        <v>123</v>
      </c>
      <c r="S124">
        <v>13.81</v>
      </c>
      <c r="T124" s="1" t="s">
        <v>15</v>
      </c>
      <c r="U124" s="1" t="s">
        <v>9</v>
      </c>
      <c r="V124">
        <v>2019</v>
      </c>
      <c r="W124" s="1" t="s">
        <v>7</v>
      </c>
      <c r="X124" s="1">
        <f>WEEKDAY(tabela_cala[[#This Row],[rides.ride_date]],2)</f>
        <v>3</v>
      </c>
    </row>
    <row r="125" spans="1:24" x14ac:dyDescent="0.25">
      <c r="A125">
        <v>14</v>
      </c>
      <c r="B125" s="1" t="s">
        <v>67</v>
      </c>
      <c r="C125" s="1" t="s">
        <v>54</v>
      </c>
      <c r="D125" s="1" t="s">
        <v>50</v>
      </c>
      <c r="E125">
        <v>2022</v>
      </c>
      <c r="F125">
        <v>124</v>
      </c>
      <c r="G125">
        <v>4</v>
      </c>
      <c r="H125">
        <v>39</v>
      </c>
      <c r="I125" s="2">
        <v>45724</v>
      </c>
      <c r="J125">
        <v>10</v>
      </c>
      <c r="K125" s="1" t="s">
        <v>41</v>
      </c>
      <c r="L125" s="1" t="s">
        <v>33</v>
      </c>
      <c r="M125">
        <v>40</v>
      </c>
      <c r="N125">
        <v>4</v>
      </c>
      <c r="O125" s="1" t="s">
        <v>32</v>
      </c>
      <c r="P125" s="1" t="s">
        <v>33</v>
      </c>
      <c r="Q125">
        <v>21</v>
      </c>
      <c r="R125">
        <v>124</v>
      </c>
      <c r="S125">
        <v>5.92</v>
      </c>
      <c r="T125" s="1" t="s">
        <v>15</v>
      </c>
      <c r="U125" s="1" t="s">
        <v>6</v>
      </c>
      <c r="V125">
        <v>2017</v>
      </c>
      <c r="W125" s="1" t="s">
        <v>7</v>
      </c>
      <c r="X125" s="1">
        <f>WEEKDAY(tabela_cala[[#This Row],[rides.ride_date]],2)</f>
        <v>6</v>
      </c>
    </row>
    <row r="126" spans="1:24" x14ac:dyDescent="0.25">
      <c r="A126">
        <v>27</v>
      </c>
      <c r="B126" s="1" t="s">
        <v>83</v>
      </c>
      <c r="C126" s="1" t="s">
        <v>47</v>
      </c>
      <c r="D126" s="1" t="s">
        <v>48</v>
      </c>
      <c r="E126">
        <v>2023</v>
      </c>
      <c r="F126">
        <v>125</v>
      </c>
      <c r="G126">
        <v>5</v>
      </c>
      <c r="H126">
        <v>9</v>
      </c>
      <c r="I126" s="2">
        <v>45718</v>
      </c>
      <c r="J126">
        <v>3</v>
      </c>
      <c r="K126" s="1" t="s">
        <v>30</v>
      </c>
      <c r="L126" s="1" t="s">
        <v>31</v>
      </c>
      <c r="M126">
        <v>27</v>
      </c>
      <c r="N126">
        <v>5</v>
      </c>
      <c r="O126" s="1" t="s">
        <v>34</v>
      </c>
      <c r="P126" s="1" t="s">
        <v>35</v>
      </c>
      <c r="Q126">
        <v>42</v>
      </c>
      <c r="R126">
        <v>125</v>
      </c>
      <c r="S126">
        <v>2.4</v>
      </c>
      <c r="T126" s="1" t="s">
        <v>16</v>
      </c>
      <c r="U126" s="1" t="s">
        <v>6</v>
      </c>
      <c r="V126">
        <v>2021</v>
      </c>
      <c r="W126" s="1" t="s">
        <v>7</v>
      </c>
      <c r="X126" s="1">
        <f>WEEKDAY(tabela_cala[[#This Row],[rides.ride_date]],2)</f>
        <v>7</v>
      </c>
    </row>
    <row r="127" spans="1:24" x14ac:dyDescent="0.25">
      <c r="A127">
        <v>20</v>
      </c>
      <c r="B127" s="1" t="s">
        <v>75</v>
      </c>
      <c r="C127" s="1" t="s">
        <v>72</v>
      </c>
      <c r="D127" s="1" t="s">
        <v>50</v>
      </c>
      <c r="E127">
        <v>2020</v>
      </c>
      <c r="F127">
        <v>126</v>
      </c>
      <c r="G127">
        <v>19</v>
      </c>
      <c r="H127">
        <v>23</v>
      </c>
      <c r="I127" s="2">
        <v>45731</v>
      </c>
      <c r="J127">
        <v>3</v>
      </c>
      <c r="K127" s="1" t="s">
        <v>30</v>
      </c>
      <c r="L127" s="1" t="s">
        <v>31</v>
      </c>
      <c r="M127">
        <v>27</v>
      </c>
      <c r="N127">
        <v>5</v>
      </c>
      <c r="O127" s="1" t="s">
        <v>34</v>
      </c>
      <c r="P127" s="1" t="s">
        <v>35</v>
      </c>
      <c r="Q127">
        <v>42</v>
      </c>
      <c r="R127">
        <v>126</v>
      </c>
      <c r="S127">
        <v>13.01</v>
      </c>
      <c r="T127" s="1" t="s">
        <v>14</v>
      </c>
      <c r="U127" s="1" t="s">
        <v>4</v>
      </c>
      <c r="V127">
        <v>2021</v>
      </c>
      <c r="W127" s="1" t="s">
        <v>7</v>
      </c>
      <c r="X127" s="1">
        <f>WEEKDAY(tabela_cala[[#This Row],[rides.ride_date]],2)</f>
        <v>6</v>
      </c>
    </row>
    <row r="128" spans="1:24" x14ac:dyDescent="0.25">
      <c r="A128">
        <v>23</v>
      </c>
      <c r="B128" s="1" t="s">
        <v>79</v>
      </c>
      <c r="C128" s="1" t="s">
        <v>47</v>
      </c>
      <c r="D128" s="1" t="s">
        <v>52</v>
      </c>
      <c r="E128">
        <v>2023</v>
      </c>
      <c r="F128">
        <v>127</v>
      </c>
      <c r="G128">
        <v>10</v>
      </c>
      <c r="H128">
        <v>49</v>
      </c>
      <c r="I128" s="2">
        <v>45729</v>
      </c>
      <c r="J128">
        <v>2</v>
      </c>
      <c r="K128" s="1" t="s">
        <v>28</v>
      </c>
      <c r="L128" s="1" t="s">
        <v>29</v>
      </c>
      <c r="M128">
        <v>45</v>
      </c>
      <c r="N128">
        <v>8</v>
      </c>
      <c r="O128" s="1" t="s">
        <v>39</v>
      </c>
      <c r="P128" s="1" t="s">
        <v>35</v>
      </c>
      <c r="Q128">
        <v>18</v>
      </c>
      <c r="R128">
        <v>127</v>
      </c>
      <c r="S128">
        <v>3.4</v>
      </c>
      <c r="T128" s="1" t="s">
        <v>15</v>
      </c>
      <c r="U128" s="1" t="s">
        <v>9</v>
      </c>
      <c r="V128">
        <v>2023</v>
      </c>
      <c r="W128" s="1" t="s">
        <v>8</v>
      </c>
      <c r="X128" s="1">
        <f>WEEKDAY(tabela_cala[[#This Row],[rides.ride_date]],2)</f>
        <v>4</v>
      </c>
    </row>
    <row r="129" spans="1:24" x14ac:dyDescent="0.25">
      <c r="A129">
        <v>18</v>
      </c>
      <c r="B129" s="1" t="s">
        <v>71</v>
      </c>
      <c r="C129" s="1" t="s">
        <v>72</v>
      </c>
      <c r="D129" s="1" t="s">
        <v>55</v>
      </c>
      <c r="E129">
        <v>2024</v>
      </c>
      <c r="F129">
        <v>128</v>
      </c>
      <c r="G129">
        <v>16</v>
      </c>
      <c r="H129">
        <v>33</v>
      </c>
      <c r="I129" s="2">
        <v>45719</v>
      </c>
      <c r="J129">
        <v>5</v>
      </c>
      <c r="K129" s="1" t="s">
        <v>34</v>
      </c>
      <c r="L129" s="1" t="s">
        <v>35</v>
      </c>
      <c r="M129">
        <v>42</v>
      </c>
      <c r="N129">
        <v>9</v>
      </c>
      <c r="O129" s="1" t="s">
        <v>40</v>
      </c>
      <c r="P129" s="1" t="s">
        <v>35</v>
      </c>
      <c r="Q129">
        <v>21</v>
      </c>
      <c r="R129">
        <v>128</v>
      </c>
      <c r="S129">
        <v>7.77</v>
      </c>
      <c r="T129" s="1" t="s">
        <v>15</v>
      </c>
      <c r="U129" s="1" t="s">
        <v>4</v>
      </c>
      <c r="V129">
        <v>2018</v>
      </c>
      <c r="W129" s="1" t="s">
        <v>5</v>
      </c>
      <c r="X129" s="1">
        <f>WEEKDAY(tabela_cala[[#This Row],[rides.ride_date]],2)</f>
        <v>1</v>
      </c>
    </row>
    <row r="130" spans="1:24" x14ac:dyDescent="0.25">
      <c r="A130">
        <v>29</v>
      </c>
      <c r="B130" s="1" t="s">
        <v>85</v>
      </c>
      <c r="C130" s="1" t="s">
        <v>72</v>
      </c>
      <c r="D130" s="1" t="s">
        <v>52</v>
      </c>
      <c r="E130">
        <v>2020</v>
      </c>
      <c r="F130">
        <v>129</v>
      </c>
      <c r="G130">
        <v>14</v>
      </c>
      <c r="H130">
        <v>52</v>
      </c>
      <c r="I130" s="2">
        <v>45727</v>
      </c>
      <c r="J130">
        <v>10</v>
      </c>
      <c r="K130" s="1" t="s">
        <v>41</v>
      </c>
      <c r="L130" s="1" t="s">
        <v>33</v>
      </c>
      <c r="M130">
        <v>40</v>
      </c>
      <c r="N130">
        <v>1</v>
      </c>
      <c r="O130" s="1" t="s">
        <v>26</v>
      </c>
      <c r="P130" s="1" t="s">
        <v>27</v>
      </c>
      <c r="Q130">
        <v>45</v>
      </c>
      <c r="R130">
        <v>129</v>
      </c>
      <c r="S130">
        <v>6.19</v>
      </c>
      <c r="T130" s="1" t="s">
        <v>14</v>
      </c>
      <c r="U130" s="1" t="s">
        <v>4</v>
      </c>
      <c r="V130">
        <v>2018</v>
      </c>
      <c r="W130" s="1" t="s">
        <v>7</v>
      </c>
      <c r="X130" s="1">
        <f>WEEKDAY(tabela_cala[[#This Row],[rides.ride_date]],2)</f>
        <v>2</v>
      </c>
    </row>
    <row r="131" spans="1:24" x14ac:dyDescent="0.25">
      <c r="A131">
        <v>1</v>
      </c>
      <c r="B131" s="1" t="s">
        <v>46</v>
      </c>
      <c r="C131" s="1" t="s">
        <v>47</v>
      </c>
      <c r="D131" s="1" t="s">
        <v>48</v>
      </c>
      <c r="E131">
        <v>2020</v>
      </c>
      <c r="F131">
        <v>130</v>
      </c>
      <c r="G131">
        <v>3</v>
      </c>
      <c r="H131">
        <v>19</v>
      </c>
      <c r="I131" s="2">
        <v>45747</v>
      </c>
      <c r="J131">
        <v>10</v>
      </c>
      <c r="K131" s="1" t="s">
        <v>41</v>
      </c>
      <c r="L131" s="1" t="s">
        <v>33</v>
      </c>
      <c r="M131">
        <v>40</v>
      </c>
      <c r="N131">
        <v>5</v>
      </c>
      <c r="O131" s="1" t="s">
        <v>34</v>
      </c>
      <c r="P131" s="1" t="s">
        <v>35</v>
      </c>
      <c r="Q131">
        <v>42</v>
      </c>
      <c r="R131">
        <v>130</v>
      </c>
      <c r="S131">
        <v>3.64</v>
      </c>
      <c r="T131" s="1" t="s">
        <v>15</v>
      </c>
      <c r="U131" s="1" t="s">
        <v>4</v>
      </c>
      <c r="V131">
        <v>2017</v>
      </c>
      <c r="W131" s="1" t="s">
        <v>7</v>
      </c>
      <c r="X131" s="1">
        <f>WEEKDAY(tabela_cala[[#This Row],[rides.ride_date]],2)</f>
        <v>1</v>
      </c>
    </row>
    <row r="132" spans="1:24" x14ac:dyDescent="0.25">
      <c r="A132">
        <v>25</v>
      </c>
      <c r="B132" s="1" t="s">
        <v>81</v>
      </c>
      <c r="C132" s="1" t="s">
        <v>54</v>
      </c>
      <c r="D132" s="1" t="s">
        <v>50</v>
      </c>
      <c r="E132">
        <v>2020</v>
      </c>
      <c r="F132">
        <v>131</v>
      </c>
      <c r="G132">
        <v>9</v>
      </c>
      <c r="H132">
        <v>41</v>
      </c>
      <c r="I132" s="2">
        <v>45718</v>
      </c>
      <c r="J132">
        <v>10</v>
      </c>
      <c r="K132" s="1" t="s">
        <v>41</v>
      </c>
      <c r="L132" s="1" t="s">
        <v>33</v>
      </c>
      <c r="M132">
        <v>40</v>
      </c>
      <c r="N132">
        <v>1</v>
      </c>
      <c r="O132" s="1" t="s">
        <v>26</v>
      </c>
      <c r="P132" s="1" t="s">
        <v>27</v>
      </c>
      <c r="Q132">
        <v>45</v>
      </c>
      <c r="R132">
        <v>131</v>
      </c>
      <c r="S132">
        <v>9.61</v>
      </c>
      <c r="T132" s="1" t="s">
        <v>15</v>
      </c>
      <c r="U132" s="1" t="s">
        <v>6</v>
      </c>
      <c r="V132">
        <v>2019</v>
      </c>
      <c r="W132" s="1" t="s">
        <v>7</v>
      </c>
      <c r="X132" s="1">
        <f>WEEKDAY(tabela_cala[[#This Row],[rides.ride_date]],2)</f>
        <v>7</v>
      </c>
    </row>
    <row r="133" spans="1:24" x14ac:dyDescent="0.25">
      <c r="A133">
        <v>17</v>
      </c>
      <c r="B133" s="1" t="s">
        <v>70</v>
      </c>
      <c r="C133" s="1" t="s">
        <v>47</v>
      </c>
      <c r="D133" s="1" t="s">
        <v>55</v>
      </c>
      <c r="E133">
        <v>2020</v>
      </c>
      <c r="F133">
        <v>132</v>
      </c>
      <c r="G133">
        <v>15</v>
      </c>
      <c r="H133">
        <v>22</v>
      </c>
      <c r="I133" s="2">
        <v>45722</v>
      </c>
      <c r="J133">
        <v>3</v>
      </c>
      <c r="K133" s="1" t="s">
        <v>30</v>
      </c>
      <c r="L133" s="1" t="s">
        <v>31</v>
      </c>
      <c r="M133">
        <v>27</v>
      </c>
      <c r="N133">
        <v>8</v>
      </c>
      <c r="O133" s="1" t="s">
        <v>39</v>
      </c>
      <c r="P133" s="1" t="s">
        <v>35</v>
      </c>
      <c r="Q133">
        <v>18</v>
      </c>
      <c r="R133">
        <v>132</v>
      </c>
      <c r="S133">
        <v>6.95</v>
      </c>
      <c r="T133" s="1" t="s">
        <v>14</v>
      </c>
      <c r="U133" s="1" t="s">
        <v>9</v>
      </c>
      <c r="V133">
        <v>2020</v>
      </c>
      <c r="W133" s="1" t="s">
        <v>7</v>
      </c>
      <c r="X133" s="1">
        <f>WEEKDAY(tabela_cala[[#This Row],[rides.ride_date]],2)</f>
        <v>4</v>
      </c>
    </row>
    <row r="134" spans="1:24" x14ac:dyDescent="0.25">
      <c r="A134">
        <v>21</v>
      </c>
      <c r="B134" s="1" t="s">
        <v>76</v>
      </c>
      <c r="C134" s="1" t="s">
        <v>54</v>
      </c>
      <c r="D134" s="1" t="s">
        <v>58</v>
      </c>
      <c r="E134">
        <v>2022</v>
      </c>
      <c r="F134">
        <v>133</v>
      </c>
      <c r="G134">
        <v>16</v>
      </c>
      <c r="H134">
        <v>10</v>
      </c>
      <c r="I134" s="2">
        <v>45732</v>
      </c>
      <c r="J134">
        <v>10</v>
      </c>
      <c r="K134" s="1" t="s">
        <v>41</v>
      </c>
      <c r="L134" s="1" t="s">
        <v>33</v>
      </c>
      <c r="M134">
        <v>40</v>
      </c>
      <c r="N134">
        <v>7</v>
      </c>
      <c r="O134" s="1" t="s">
        <v>38</v>
      </c>
      <c r="P134" s="1" t="s">
        <v>31</v>
      </c>
      <c r="Q134">
        <v>44</v>
      </c>
      <c r="R134">
        <v>133</v>
      </c>
      <c r="S134">
        <v>5.83</v>
      </c>
      <c r="T134" s="1" t="s">
        <v>14</v>
      </c>
      <c r="U134" s="1" t="s">
        <v>4</v>
      </c>
      <c r="V134">
        <v>2018</v>
      </c>
      <c r="W134" s="1" t="s">
        <v>5</v>
      </c>
      <c r="X134" s="1">
        <f>WEEKDAY(tabela_cala[[#This Row],[rides.ride_date]],2)</f>
        <v>7</v>
      </c>
    </row>
    <row r="135" spans="1:24" x14ac:dyDescent="0.25">
      <c r="A135">
        <v>11</v>
      </c>
      <c r="B135" s="1" t="s">
        <v>64</v>
      </c>
      <c r="C135" s="1" t="s">
        <v>54</v>
      </c>
      <c r="D135" s="1" t="s">
        <v>48</v>
      </c>
      <c r="E135">
        <v>2025</v>
      </c>
      <c r="F135">
        <v>134</v>
      </c>
      <c r="G135">
        <v>11</v>
      </c>
      <c r="H135">
        <v>47</v>
      </c>
      <c r="I135" s="2">
        <v>45720</v>
      </c>
      <c r="J135">
        <v>6</v>
      </c>
      <c r="K135" s="1" t="s">
        <v>36</v>
      </c>
      <c r="L135" s="1" t="s">
        <v>37</v>
      </c>
      <c r="M135">
        <v>42</v>
      </c>
      <c r="N135">
        <v>7</v>
      </c>
      <c r="O135" s="1" t="s">
        <v>38</v>
      </c>
      <c r="P135" s="1" t="s">
        <v>31</v>
      </c>
      <c r="Q135">
        <v>44</v>
      </c>
      <c r="R135">
        <v>134</v>
      </c>
      <c r="S135">
        <v>7.59</v>
      </c>
      <c r="T135" s="1" t="s">
        <v>15</v>
      </c>
      <c r="U135" s="1" t="s">
        <v>9</v>
      </c>
      <c r="V135">
        <v>2020</v>
      </c>
      <c r="W135" s="1" t="s">
        <v>5</v>
      </c>
      <c r="X135" s="1">
        <f>WEEKDAY(tabela_cala[[#This Row],[rides.ride_date]],2)</f>
        <v>2</v>
      </c>
    </row>
    <row r="136" spans="1:24" x14ac:dyDescent="0.25">
      <c r="A136">
        <v>14</v>
      </c>
      <c r="B136" s="1" t="s">
        <v>67</v>
      </c>
      <c r="C136" s="1" t="s">
        <v>54</v>
      </c>
      <c r="D136" s="1" t="s">
        <v>50</v>
      </c>
      <c r="E136">
        <v>2022</v>
      </c>
      <c r="F136">
        <v>135</v>
      </c>
      <c r="G136">
        <v>16</v>
      </c>
      <c r="H136">
        <v>23</v>
      </c>
      <c r="I136" s="2">
        <v>45738</v>
      </c>
      <c r="J136">
        <v>3</v>
      </c>
      <c r="K136" s="1" t="s">
        <v>30</v>
      </c>
      <c r="L136" s="1" t="s">
        <v>31</v>
      </c>
      <c r="M136">
        <v>27</v>
      </c>
      <c r="N136">
        <v>6</v>
      </c>
      <c r="O136" s="1" t="s">
        <v>36</v>
      </c>
      <c r="P136" s="1" t="s">
        <v>37</v>
      </c>
      <c r="Q136">
        <v>42</v>
      </c>
      <c r="R136">
        <v>135</v>
      </c>
      <c r="S136">
        <v>3.49</v>
      </c>
      <c r="T136" s="1" t="s">
        <v>15</v>
      </c>
      <c r="U136" s="1" t="s">
        <v>4</v>
      </c>
      <c r="V136">
        <v>2018</v>
      </c>
      <c r="W136" s="1" t="s">
        <v>5</v>
      </c>
      <c r="X136" s="1">
        <f>WEEKDAY(tabela_cala[[#This Row],[rides.ride_date]],2)</f>
        <v>6</v>
      </c>
    </row>
    <row r="137" spans="1:24" x14ac:dyDescent="0.25">
      <c r="A137">
        <v>2</v>
      </c>
      <c r="B137" s="1" t="s">
        <v>49</v>
      </c>
      <c r="C137" s="1" t="s">
        <v>47</v>
      </c>
      <c r="D137" s="1" t="s">
        <v>50</v>
      </c>
      <c r="E137">
        <v>2024</v>
      </c>
      <c r="F137">
        <v>136</v>
      </c>
      <c r="G137">
        <v>15</v>
      </c>
      <c r="H137">
        <v>10</v>
      </c>
      <c r="I137" s="2">
        <v>45727</v>
      </c>
      <c r="J137">
        <v>7</v>
      </c>
      <c r="K137" s="1" t="s">
        <v>38</v>
      </c>
      <c r="L137" s="1" t="s">
        <v>31</v>
      </c>
      <c r="M137">
        <v>44</v>
      </c>
      <c r="N137">
        <v>9</v>
      </c>
      <c r="O137" s="1" t="s">
        <v>40</v>
      </c>
      <c r="P137" s="1" t="s">
        <v>35</v>
      </c>
      <c r="Q137">
        <v>21</v>
      </c>
      <c r="R137">
        <v>136</v>
      </c>
      <c r="S137">
        <v>13.41</v>
      </c>
      <c r="T137" s="1" t="s">
        <v>14</v>
      </c>
      <c r="U137" s="1" t="s">
        <v>9</v>
      </c>
      <c r="V137">
        <v>2020</v>
      </c>
      <c r="W137" s="1" t="s">
        <v>7</v>
      </c>
      <c r="X137" s="1">
        <f>WEEKDAY(tabela_cala[[#This Row],[rides.ride_date]],2)</f>
        <v>2</v>
      </c>
    </row>
    <row r="138" spans="1:24" x14ac:dyDescent="0.25">
      <c r="A138">
        <v>4</v>
      </c>
      <c r="B138" s="1" t="s">
        <v>53</v>
      </c>
      <c r="C138" s="1" t="s">
        <v>54</v>
      </c>
      <c r="D138" s="1" t="s">
        <v>55</v>
      </c>
      <c r="E138">
        <v>2023</v>
      </c>
      <c r="F138">
        <v>137</v>
      </c>
      <c r="G138">
        <v>13</v>
      </c>
      <c r="H138">
        <v>60</v>
      </c>
      <c r="I138" s="2">
        <v>45733</v>
      </c>
      <c r="J138">
        <v>5</v>
      </c>
      <c r="K138" s="1" t="s">
        <v>34</v>
      </c>
      <c r="L138" s="1" t="s">
        <v>35</v>
      </c>
      <c r="M138">
        <v>42</v>
      </c>
      <c r="N138">
        <v>6</v>
      </c>
      <c r="O138" s="1" t="s">
        <v>36</v>
      </c>
      <c r="P138" s="1" t="s">
        <v>37</v>
      </c>
      <c r="Q138">
        <v>42</v>
      </c>
      <c r="R138">
        <v>137</v>
      </c>
      <c r="S138">
        <v>13.25</v>
      </c>
      <c r="T138" s="1" t="s">
        <v>14</v>
      </c>
      <c r="U138" s="1" t="s">
        <v>9</v>
      </c>
      <c r="V138">
        <v>2024</v>
      </c>
      <c r="W138" s="1" t="s">
        <v>7</v>
      </c>
      <c r="X138" s="1">
        <f>WEEKDAY(tabela_cala[[#This Row],[rides.ride_date]],2)</f>
        <v>1</v>
      </c>
    </row>
    <row r="139" spans="1:24" x14ac:dyDescent="0.25">
      <c r="A139">
        <v>15</v>
      </c>
      <c r="B139" s="1" t="s">
        <v>68</v>
      </c>
      <c r="C139" s="1" t="s">
        <v>47</v>
      </c>
      <c r="D139" s="1" t="s">
        <v>61</v>
      </c>
      <c r="E139">
        <v>2020</v>
      </c>
      <c r="F139">
        <v>138</v>
      </c>
      <c r="G139">
        <v>14</v>
      </c>
      <c r="H139">
        <v>8</v>
      </c>
      <c r="I139" s="2">
        <v>45723</v>
      </c>
      <c r="J139">
        <v>1</v>
      </c>
      <c r="K139" s="1" t="s">
        <v>26</v>
      </c>
      <c r="L139" s="1" t="s">
        <v>27</v>
      </c>
      <c r="M139">
        <v>45</v>
      </c>
      <c r="N139">
        <v>9</v>
      </c>
      <c r="O139" s="1" t="s">
        <v>40</v>
      </c>
      <c r="P139" s="1" t="s">
        <v>35</v>
      </c>
      <c r="Q139">
        <v>21</v>
      </c>
      <c r="R139">
        <v>138</v>
      </c>
      <c r="S139">
        <v>13.55</v>
      </c>
      <c r="T139" s="1" t="s">
        <v>14</v>
      </c>
      <c r="U139" s="1" t="s">
        <v>4</v>
      </c>
      <c r="V139">
        <v>2018</v>
      </c>
      <c r="W139" s="1" t="s">
        <v>7</v>
      </c>
      <c r="X139" s="1">
        <f>WEEKDAY(tabela_cala[[#This Row],[rides.ride_date]],2)</f>
        <v>5</v>
      </c>
    </row>
    <row r="140" spans="1:24" x14ac:dyDescent="0.25">
      <c r="A140">
        <v>20</v>
      </c>
      <c r="B140" s="1" t="s">
        <v>75</v>
      </c>
      <c r="C140" s="1" t="s">
        <v>72</v>
      </c>
      <c r="D140" s="1" t="s">
        <v>50</v>
      </c>
      <c r="E140">
        <v>2020</v>
      </c>
      <c r="F140">
        <v>139</v>
      </c>
      <c r="G140">
        <v>16</v>
      </c>
      <c r="H140">
        <v>45</v>
      </c>
      <c r="I140" s="2">
        <v>45731</v>
      </c>
      <c r="J140">
        <v>9</v>
      </c>
      <c r="K140" s="1" t="s">
        <v>40</v>
      </c>
      <c r="L140" s="1" t="s">
        <v>35</v>
      </c>
      <c r="M140">
        <v>21</v>
      </c>
      <c r="N140">
        <v>6</v>
      </c>
      <c r="O140" s="1" t="s">
        <v>36</v>
      </c>
      <c r="P140" s="1" t="s">
        <v>37</v>
      </c>
      <c r="Q140">
        <v>42</v>
      </c>
      <c r="R140">
        <v>139</v>
      </c>
      <c r="S140">
        <v>12.76</v>
      </c>
      <c r="T140" s="1" t="s">
        <v>14</v>
      </c>
      <c r="U140" s="1" t="s">
        <v>4</v>
      </c>
      <c r="V140">
        <v>2018</v>
      </c>
      <c r="W140" s="1" t="s">
        <v>5</v>
      </c>
      <c r="X140" s="1">
        <f>WEEKDAY(tabela_cala[[#This Row],[rides.ride_date]],2)</f>
        <v>6</v>
      </c>
    </row>
    <row r="141" spans="1:24" x14ac:dyDescent="0.25">
      <c r="A141">
        <v>9</v>
      </c>
      <c r="B141" s="1" t="s">
        <v>62</v>
      </c>
      <c r="C141" s="1" t="s">
        <v>54</v>
      </c>
      <c r="D141" s="1" t="s">
        <v>61</v>
      </c>
      <c r="E141">
        <v>2025</v>
      </c>
      <c r="F141">
        <v>140</v>
      </c>
      <c r="G141">
        <v>18</v>
      </c>
      <c r="H141">
        <v>13</v>
      </c>
      <c r="I141" s="2">
        <v>45746</v>
      </c>
      <c r="J141">
        <v>1</v>
      </c>
      <c r="K141" s="1" t="s">
        <v>26</v>
      </c>
      <c r="L141" s="1" t="s">
        <v>27</v>
      </c>
      <c r="M141">
        <v>45</v>
      </c>
      <c r="N141">
        <v>4</v>
      </c>
      <c r="O141" s="1" t="s">
        <v>32</v>
      </c>
      <c r="P141" s="1" t="s">
        <v>33</v>
      </c>
      <c r="Q141">
        <v>21</v>
      </c>
      <c r="R141">
        <v>140</v>
      </c>
      <c r="S141">
        <v>11.48</v>
      </c>
      <c r="T141" s="1" t="s">
        <v>14</v>
      </c>
      <c r="U141" s="1" t="s">
        <v>4</v>
      </c>
      <c r="V141">
        <v>2022</v>
      </c>
      <c r="W141" s="1" t="s">
        <v>7</v>
      </c>
      <c r="X141" s="1">
        <f>WEEKDAY(tabela_cala[[#This Row],[rides.ride_date]],2)</f>
        <v>7</v>
      </c>
    </row>
    <row r="142" spans="1:24" x14ac:dyDescent="0.25">
      <c r="A142">
        <v>29</v>
      </c>
      <c r="B142" s="1" t="s">
        <v>85</v>
      </c>
      <c r="C142" s="1" t="s">
        <v>72</v>
      </c>
      <c r="D142" s="1" t="s">
        <v>52</v>
      </c>
      <c r="E142">
        <v>2020</v>
      </c>
      <c r="F142">
        <v>141</v>
      </c>
      <c r="G142">
        <v>16</v>
      </c>
      <c r="H142">
        <v>12</v>
      </c>
      <c r="I142" s="2">
        <v>45717</v>
      </c>
      <c r="J142">
        <v>5</v>
      </c>
      <c r="K142" s="1" t="s">
        <v>34</v>
      </c>
      <c r="L142" s="1" t="s">
        <v>35</v>
      </c>
      <c r="M142">
        <v>42</v>
      </c>
      <c r="N142">
        <v>8</v>
      </c>
      <c r="O142" s="1" t="s">
        <v>39</v>
      </c>
      <c r="P142" s="1" t="s">
        <v>35</v>
      </c>
      <c r="Q142">
        <v>18</v>
      </c>
      <c r="R142">
        <v>141</v>
      </c>
      <c r="S142">
        <v>6.06</v>
      </c>
      <c r="T142" s="1" t="s">
        <v>14</v>
      </c>
      <c r="U142" s="1" t="s">
        <v>4</v>
      </c>
      <c r="V142">
        <v>2018</v>
      </c>
      <c r="W142" s="1" t="s">
        <v>5</v>
      </c>
      <c r="X142" s="1">
        <f>WEEKDAY(tabela_cala[[#This Row],[rides.ride_date]],2)</f>
        <v>6</v>
      </c>
    </row>
    <row r="143" spans="1:24" x14ac:dyDescent="0.25">
      <c r="A143">
        <v>23</v>
      </c>
      <c r="B143" s="1" t="s">
        <v>79</v>
      </c>
      <c r="C143" s="1" t="s">
        <v>47</v>
      </c>
      <c r="D143" s="1" t="s">
        <v>52</v>
      </c>
      <c r="E143">
        <v>2023</v>
      </c>
      <c r="F143">
        <v>142</v>
      </c>
      <c r="G143">
        <v>6</v>
      </c>
      <c r="H143">
        <v>24</v>
      </c>
      <c r="I143" s="2">
        <v>45734</v>
      </c>
      <c r="J143">
        <v>10</v>
      </c>
      <c r="K143" s="1" t="s">
        <v>41</v>
      </c>
      <c r="L143" s="1" t="s">
        <v>33</v>
      </c>
      <c r="M143">
        <v>40</v>
      </c>
      <c r="N143">
        <v>4</v>
      </c>
      <c r="O143" s="1" t="s">
        <v>32</v>
      </c>
      <c r="P143" s="1" t="s">
        <v>33</v>
      </c>
      <c r="Q143">
        <v>21</v>
      </c>
      <c r="R143">
        <v>142</v>
      </c>
      <c r="S143">
        <v>14.4</v>
      </c>
      <c r="T143" s="1" t="s">
        <v>15</v>
      </c>
      <c r="U143" s="1" t="s">
        <v>4</v>
      </c>
      <c r="V143">
        <v>2018</v>
      </c>
      <c r="W143" s="1" t="s">
        <v>7</v>
      </c>
      <c r="X143" s="1">
        <f>WEEKDAY(tabela_cala[[#This Row],[rides.ride_date]],2)</f>
        <v>2</v>
      </c>
    </row>
    <row r="144" spans="1:24" x14ac:dyDescent="0.25">
      <c r="A144">
        <v>14</v>
      </c>
      <c r="B144" s="1" t="s">
        <v>67</v>
      </c>
      <c r="C144" s="1" t="s">
        <v>54</v>
      </c>
      <c r="D144" s="1" t="s">
        <v>50</v>
      </c>
      <c r="E144">
        <v>2022</v>
      </c>
      <c r="F144">
        <v>143</v>
      </c>
      <c r="G144">
        <v>3</v>
      </c>
      <c r="H144">
        <v>19</v>
      </c>
      <c r="I144" s="2">
        <v>45743</v>
      </c>
      <c r="J144">
        <v>1</v>
      </c>
      <c r="K144" s="1" t="s">
        <v>26</v>
      </c>
      <c r="L144" s="1" t="s">
        <v>27</v>
      </c>
      <c r="M144">
        <v>45</v>
      </c>
      <c r="N144">
        <v>9</v>
      </c>
      <c r="O144" s="1" t="s">
        <v>40</v>
      </c>
      <c r="P144" s="1" t="s">
        <v>35</v>
      </c>
      <c r="Q144">
        <v>21</v>
      </c>
      <c r="R144">
        <v>143</v>
      </c>
      <c r="S144">
        <v>8.17</v>
      </c>
      <c r="T144" s="1" t="s">
        <v>14</v>
      </c>
      <c r="U144" s="1" t="s">
        <v>4</v>
      </c>
      <c r="V144">
        <v>2017</v>
      </c>
      <c r="W144" s="1" t="s">
        <v>7</v>
      </c>
      <c r="X144" s="1">
        <f>WEEKDAY(tabela_cala[[#This Row],[rides.ride_date]],2)</f>
        <v>4</v>
      </c>
    </row>
    <row r="145" spans="1:24" x14ac:dyDescent="0.25">
      <c r="A145">
        <v>4</v>
      </c>
      <c r="B145" s="1" t="s">
        <v>53</v>
      </c>
      <c r="C145" s="1" t="s">
        <v>54</v>
      </c>
      <c r="D145" s="1" t="s">
        <v>55</v>
      </c>
      <c r="E145">
        <v>2023</v>
      </c>
      <c r="F145">
        <v>144</v>
      </c>
      <c r="G145">
        <v>5</v>
      </c>
      <c r="H145">
        <v>36</v>
      </c>
      <c r="I145" s="2">
        <v>45746</v>
      </c>
      <c r="J145">
        <v>2</v>
      </c>
      <c r="K145" s="1" t="s">
        <v>28</v>
      </c>
      <c r="L145" s="1" t="s">
        <v>29</v>
      </c>
      <c r="M145">
        <v>45</v>
      </c>
      <c r="N145">
        <v>8</v>
      </c>
      <c r="O145" s="1" t="s">
        <v>39</v>
      </c>
      <c r="P145" s="1" t="s">
        <v>35</v>
      </c>
      <c r="Q145">
        <v>18</v>
      </c>
      <c r="R145">
        <v>144</v>
      </c>
      <c r="S145">
        <v>3.11</v>
      </c>
      <c r="T145" s="1" t="s">
        <v>14</v>
      </c>
      <c r="U145" s="1" t="s">
        <v>6</v>
      </c>
      <c r="V145">
        <v>2021</v>
      </c>
      <c r="W145" s="1" t="s">
        <v>7</v>
      </c>
      <c r="X145" s="1">
        <f>WEEKDAY(tabela_cala[[#This Row],[rides.ride_date]],2)</f>
        <v>7</v>
      </c>
    </row>
    <row r="146" spans="1:24" x14ac:dyDescent="0.25">
      <c r="A146">
        <v>23</v>
      </c>
      <c r="B146" s="1" t="s">
        <v>79</v>
      </c>
      <c r="C146" s="1" t="s">
        <v>47</v>
      </c>
      <c r="D146" s="1" t="s">
        <v>52</v>
      </c>
      <c r="E146">
        <v>2023</v>
      </c>
      <c r="F146">
        <v>145</v>
      </c>
      <c r="G146">
        <v>9</v>
      </c>
      <c r="H146">
        <v>31</v>
      </c>
      <c r="I146" s="2">
        <v>45743</v>
      </c>
      <c r="J146">
        <v>5</v>
      </c>
      <c r="K146" s="1" t="s">
        <v>34</v>
      </c>
      <c r="L146" s="1" t="s">
        <v>35</v>
      </c>
      <c r="M146">
        <v>42</v>
      </c>
      <c r="N146">
        <v>9</v>
      </c>
      <c r="O146" s="1" t="s">
        <v>40</v>
      </c>
      <c r="P146" s="1" t="s">
        <v>35</v>
      </c>
      <c r="Q146">
        <v>21</v>
      </c>
      <c r="R146">
        <v>145</v>
      </c>
      <c r="S146">
        <v>11.68</v>
      </c>
      <c r="T146" s="1" t="s">
        <v>14</v>
      </c>
      <c r="U146" s="1" t="s">
        <v>6</v>
      </c>
      <c r="V146">
        <v>2019</v>
      </c>
      <c r="W146" s="1" t="s">
        <v>7</v>
      </c>
      <c r="X146" s="1">
        <f>WEEKDAY(tabela_cala[[#This Row],[rides.ride_date]],2)</f>
        <v>4</v>
      </c>
    </row>
    <row r="147" spans="1:24" x14ac:dyDescent="0.25">
      <c r="A147">
        <v>15</v>
      </c>
      <c r="B147" s="1" t="s">
        <v>68</v>
      </c>
      <c r="C147" s="1" t="s">
        <v>47</v>
      </c>
      <c r="D147" s="1" t="s">
        <v>61</v>
      </c>
      <c r="E147">
        <v>2020</v>
      </c>
      <c r="F147">
        <v>146</v>
      </c>
      <c r="G147">
        <v>18</v>
      </c>
      <c r="H147">
        <v>14</v>
      </c>
      <c r="I147" s="2">
        <v>45729</v>
      </c>
      <c r="J147">
        <v>8</v>
      </c>
      <c r="K147" s="1" t="s">
        <v>39</v>
      </c>
      <c r="L147" s="1" t="s">
        <v>35</v>
      </c>
      <c r="M147">
        <v>18</v>
      </c>
      <c r="N147">
        <v>4</v>
      </c>
      <c r="O147" s="1" t="s">
        <v>32</v>
      </c>
      <c r="P147" s="1" t="s">
        <v>33</v>
      </c>
      <c r="Q147">
        <v>21</v>
      </c>
      <c r="R147">
        <v>146</v>
      </c>
      <c r="S147">
        <v>3.69</v>
      </c>
      <c r="T147" s="1" t="s">
        <v>14</v>
      </c>
      <c r="U147" s="1" t="s">
        <v>4</v>
      </c>
      <c r="V147">
        <v>2022</v>
      </c>
      <c r="W147" s="1" t="s">
        <v>7</v>
      </c>
      <c r="X147" s="1">
        <f>WEEKDAY(tabela_cala[[#This Row],[rides.ride_date]],2)</f>
        <v>4</v>
      </c>
    </row>
    <row r="148" spans="1:24" x14ac:dyDescent="0.25">
      <c r="A148">
        <v>17</v>
      </c>
      <c r="B148" s="1" t="s">
        <v>70</v>
      </c>
      <c r="C148" s="1" t="s">
        <v>47</v>
      </c>
      <c r="D148" s="1" t="s">
        <v>55</v>
      </c>
      <c r="E148">
        <v>2020</v>
      </c>
      <c r="F148">
        <v>147</v>
      </c>
      <c r="G148">
        <v>5</v>
      </c>
      <c r="H148">
        <v>60</v>
      </c>
      <c r="I148" s="2">
        <v>45719</v>
      </c>
      <c r="J148">
        <v>4</v>
      </c>
      <c r="K148" s="1" t="s">
        <v>32</v>
      </c>
      <c r="L148" s="1" t="s">
        <v>33</v>
      </c>
      <c r="M148">
        <v>21</v>
      </c>
      <c r="N148">
        <v>10</v>
      </c>
      <c r="O148" s="1" t="s">
        <v>41</v>
      </c>
      <c r="P148" s="1" t="s">
        <v>33</v>
      </c>
      <c r="Q148">
        <v>40</v>
      </c>
      <c r="R148">
        <v>147</v>
      </c>
      <c r="S148">
        <v>14.44</v>
      </c>
      <c r="T148" s="1" t="s">
        <v>14</v>
      </c>
      <c r="U148" s="1" t="s">
        <v>6</v>
      </c>
      <c r="V148">
        <v>2021</v>
      </c>
      <c r="W148" s="1" t="s">
        <v>7</v>
      </c>
      <c r="X148" s="1">
        <f>WEEKDAY(tabela_cala[[#This Row],[rides.ride_date]],2)</f>
        <v>1</v>
      </c>
    </row>
    <row r="149" spans="1:24" x14ac:dyDescent="0.25">
      <c r="A149">
        <v>11</v>
      </c>
      <c r="B149" s="1" t="s">
        <v>64</v>
      </c>
      <c r="C149" s="1" t="s">
        <v>54</v>
      </c>
      <c r="D149" s="1" t="s">
        <v>48</v>
      </c>
      <c r="E149">
        <v>2025</v>
      </c>
      <c r="F149">
        <v>148</v>
      </c>
      <c r="G149">
        <v>17</v>
      </c>
      <c r="H149">
        <v>22</v>
      </c>
      <c r="I149" s="2">
        <v>45743</v>
      </c>
      <c r="J149">
        <v>5</v>
      </c>
      <c r="K149" s="1" t="s">
        <v>34</v>
      </c>
      <c r="L149" s="1" t="s">
        <v>35</v>
      </c>
      <c r="M149">
        <v>42</v>
      </c>
      <c r="N149">
        <v>7</v>
      </c>
      <c r="O149" s="1" t="s">
        <v>38</v>
      </c>
      <c r="P149" s="1" t="s">
        <v>31</v>
      </c>
      <c r="Q149">
        <v>44</v>
      </c>
      <c r="R149">
        <v>148</v>
      </c>
      <c r="S149">
        <v>10.71</v>
      </c>
      <c r="T149" s="1" t="s">
        <v>14</v>
      </c>
      <c r="U149" s="1" t="s">
        <v>4</v>
      </c>
      <c r="V149">
        <v>2020</v>
      </c>
      <c r="W149" s="1" t="s">
        <v>7</v>
      </c>
      <c r="X149" s="1">
        <f>WEEKDAY(tabela_cala[[#This Row],[rides.ride_date]],2)</f>
        <v>4</v>
      </c>
    </row>
    <row r="150" spans="1:24" x14ac:dyDescent="0.25">
      <c r="A150">
        <v>24</v>
      </c>
      <c r="B150" s="1" t="s">
        <v>80</v>
      </c>
      <c r="C150" s="1" t="s">
        <v>54</v>
      </c>
      <c r="D150" s="1" t="s">
        <v>78</v>
      </c>
      <c r="E150">
        <v>2023</v>
      </c>
      <c r="F150">
        <v>149</v>
      </c>
      <c r="G150">
        <v>10</v>
      </c>
      <c r="H150">
        <v>58</v>
      </c>
      <c r="I150" s="2">
        <v>45735</v>
      </c>
      <c r="J150">
        <v>1</v>
      </c>
      <c r="K150" s="1" t="s">
        <v>26</v>
      </c>
      <c r="L150" s="1" t="s">
        <v>27</v>
      </c>
      <c r="M150">
        <v>45</v>
      </c>
      <c r="N150">
        <v>5</v>
      </c>
      <c r="O150" s="1" t="s">
        <v>34</v>
      </c>
      <c r="P150" s="1" t="s">
        <v>35</v>
      </c>
      <c r="Q150">
        <v>42</v>
      </c>
      <c r="R150">
        <v>149</v>
      </c>
      <c r="S150">
        <v>13.36</v>
      </c>
      <c r="T150" s="1" t="s">
        <v>16</v>
      </c>
      <c r="U150" s="1" t="s">
        <v>9</v>
      </c>
      <c r="V150">
        <v>2023</v>
      </c>
      <c r="W150" s="1" t="s">
        <v>8</v>
      </c>
      <c r="X150" s="1">
        <f>WEEKDAY(tabela_cala[[#This Row],[rides.ride_date]],2)</f>
        <v>3</v>
      </c>
    </row>
    <row r="151" spans="1:24" x14ac:dyDescent="0.25">
      <c r="A151">
        <v>28</v>
      </c>
      <c r="B151" s="1" t="s">
        <v>84</v>
      </c>
      <c r="C151" s="1" t="s">
        <v>47</v>
      </c>
      <c r="D151" s="1" t="s">
        <v>48</v>
      </c>
      <c r="E151">
        <v>2025</v>
      </c>
      <c r="F151">
        <v>150</v>
      </c>
      <c r="G151">
        <v>5</v>
      </c>
      <c r="H151">
        <v>33</v>
      </c>
      <c r="I151" s="2">
        <v>45734</v>
      </c>
      <c r="J151">
        <v>10</v>
      </c>
      <c r="K151" s="1" t="s">
        <v>41</v>
      </c>
      <c r="L151" s="1" t="s">
        <v>33</v>
      </c>
      <c r="M151">
        <v>40</v>
      </c>
      <c r="N151">
        <v>8</v>
      </c>
      <c r="O151" s="1" t="s">
        <v>39</v>
      </c>
      <c r="P151" s="1" t="s">
        <v>35</v>
      </c>
      <c r="Q151">
        <v>18</v>
      </c>
      <c r="R151">
        <v>150</v>
      </c>
      <c r="S151">
        <v>7.5</v>
      </c>
      <c r="T151" s="1" t="s">
        <v>16</v>
      </c>
      <c r="U151" s="1" t="s">
        <v>6</v>
      </c>
      <c r="V151">
        <v>2021</v>
      </c>
      <c r="W151" s="1" t="s">
        <v>7</v>
      </c>
      <c r="X151" s="1">
        <f>WEEKDAY(tabela_cala[[#This Row],[rides.ride_date]],2)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EC0A-92F1-4DCD-8931-6786B0C2BEA9}">
  <dimension ref="A1:X133"/>
  <sheetViews>
    <sheetView topLeftCell="A88" workbookViewId="0">
      <selection activeCell="H123" sqref="H123"/>
    </sheetView>
  </sheetViews>
  <sheetFormatPr defaultRowHeight="15" x14ac:dyDescent="0.25"/>
  <cols>
    <col min="1" max="1" width="17.85546875" bestFit="1" customWidth="1"/>
    <col min="2" max="2" width="28.85546875" bestFit="1" customWidth="1"/>
    <col min="3" max="3" width="15.42578125" bestFit="1" customWidth="1"/>
    <col min="4" max="4" width="17.85546875" bestFit="1" customWidth="1"/>
    <col min="5" max="5" width="30.5703125" bestFit="1" customWidth="1"/>
    <col min="6" max="6" width="12.5703125" bestFit="1" customWidth="1"/>
    <col min="7" max="7" width="10.28515625" bestFit="1" customWidth="1"/>
    <col min="8" max="8" width="15.28515625" bestFit="1" customWidth="1"/>
    <col min="9" max="9" width="9.140625" bestFit="1" customWidth="1"/>
    <col min="10" max="10" width="12" bestFit="1" customWidth="1"/>
    <col min="11" max="11" width="14" bestFit="1" customWidth="1"/>
    <col min="12" max="12" width="11.42578125" bestFit="1" customWidth="1"/>
    <col min="13" max="13" width="14.140625" bestFit="1" customWidth="1"/>
    <col min="14" max="14" width="12.85546875" bestFit="1" customWidth="1"/>
    <col min="15" max="15" width="12.140625" bestFit="1" customWidth="1"/>
    <col min="16" max="16" width="13.85546875" bestFit="1" customWidth="1"/>
    <col min="17" max="17" width="9.85546875" bestFit="1" customWidth="1"/>
    <col min="18" max="18" width="10.85546875" bestFit="1" customWidth="1"/>
    <col min="19" max="19" width="15.7109375" bestFit="1" customWidth="1"/>
    <col min="20" max="20" width="11.5703125" bestFit="1" customWidth="1"/>
    <col min="21" max="21" width="14.5703125" bestFit="1" customWidth="1"/>
    <col min="22" max="22" width="11.7109375" bestFit="1" customWidth="1"/>
    <col min="23" max="23" width="12" bestFit="1" customWidth="1"/>
    <col min="24" max="24" width="12.85546875" bestFit="1" customWidth="1"/>
    <col min="25" max="25" width="11.28515625" bestFit="1" customWidth="1"/>
    <col min="26" max="26" width="12.140625" bestFit="1" customWidth="1"/>
    <col min="27" max="27" width="17.28515625" bestFit="1" customWidth="1"/>
    <col min="28" max="28" width="11.7109375" bestFit="1" customWidth="1"/>
    <col min="29" max="29" width="12" bestFit="1" customWidth="1"/>
    <col min="30" max="30" width="11" bestFit="1" customWidth="1"/>
    <col min="31" max="31" width="14" bestFit="1" customWidth="1"/>
    <col min="32" max="32" width="14.42578125" bestFit="1" customWidth="1"/>
    <col min="33" max="35" width="3" bestFit="1" customWidth="1"/>
    <col min="36" max="39" width="4" bestFit="1" customWidth="1"/>
    <col min="40" max="42" width="3" bestFit="1" customWidth="1"/>
    <col min="43" max="47" width="4" bestFit="1" customWidth="1"/>
    <col min="48" max="49" width="3" bestFit="1" customWidth="1"/>
    <col min="50" max="52" width="4" bestFit="1" customWidth="1"/>
    <col min="53" max="53" width="14.42578125" bestFit="1" customWidth="1"/>
  </cols>
  <sheetData>
    <row r="1" spans="1:24" x14ac:dyDescent="0.25">
      <c r="A1" cm="1">
        <f t="array" ref="A1:X20">_xlfn.VSTACK(_xlfn.TAKE(tabela_cala[], 10), _xlfn.TAKE(tabela_cala[], -10))</f>
        <v>8</v>
      </c>
      <c r="B1" t="str">
        <v>Anna Lee</v>
      </c>
      <c r="C1" t="str">
        <v>student</v>
      </c>
      <c r="D1" t="str">
        <v>London</v>
      </c>
      <c r="E1">
        <v>2019</v>
      </c>
      <c r="F1">
        <v>1</v>
      </c>
      <c r="G1">
        <v>7</v>
      </c>
      <c r="H1">
        <v>17</v>
      </c>
      <c r="I1">
        <v>45734</v>
      </c>
      <c r="J1">
        <v>6</v>
      </c>
      <c r="K1" t="str">
        <v>Station 6</v>
      </c>
      <c r="L1" t="str">
        <v>Podgorze</v>
      </c>
      <c r="M1">
        <v>42</v>
      </c>
      <c r="N1">
        <v>2</v>
      </c>
      <c r="O1" t="str">
        <v>Station 2</v>
      </c>
      <c r="P1" t="str">
        <v>Kazimierz</v>
      </c>
      <c r="Q1">
        <v>45</v>
      </c>
      <c r="R1">
        <v>1</v>
      </c>
      <c r="S1">
        <v>8.3000000000000007</v>
      </c>
      <c r="T1" t="str">
        <v>subscription</v>
      </c>
      <c r="U1" t="str">
        <v>electric</v>
      </c>
      <c r="V1">
        <v>2018</v>
      </c>
      <c r="W1" t="str">
        <v>retired</v>
      </c>
      <c r="X1">
        <v>2</v>
      </c>
    </row>
    <row r="2" spans="1:24" x14ac:dyDescent="0.25">
      <c r="A2">
        <v>15</v>
      </c>
      <c r="B2" t="str">
        <v>Anna Hernandez</v>
      </c>
      <c r="C2" t="str">
        <v>tourist</v>
      </c>
      <c r="D2" t="str">
        <v>London</v>
      </c>
      <c r="E2">
        <v>2020</v>
      </c>
      <c r="F2">
        <v>3</v>
      </c>
      <c r="G2">
        <v>18</v>
      </c>
      <c r="H2">
        <v>11</v>
      </c>
      <c r="I2">
        <v>45718</v>
      </c>
      <c r="J2">
        <v>4</v>
      </c>
      <c r="K2" t="str">
        <v>Station 4</v>
      </c>
      <c r="L2" t="str">
        <v>Old Town</v>
      </c>
      <c r="M2">
        <v>21</v>
      </c>
      <c r="N2">
        <v>2</v>
      </c>
      <c r="O2" t="str">
        <v>Station 2</v>
      </c>
      <c r="P2" t="str">
        <v>Kazimierz</v>
      </c>
      <c r="Q2">
        <v>45</v>
      </c>
      <c r="R2">
        <v>3</v>
      </c>
      <c r="S2">
        <v>14.13</v>
      </c>
      <c r="T2" t="str">
        <v>single</v>
      </c>
      <c r="U2" t="str">
        <v>standard</v>
      </c>
      <c r="V2">
        <v>2022</v>
      </c>
      <c r="W2" t="str">
        <v>active</v>
      </c>
      <c r="X2">
        <v>7</v>
      </c>
    </row>
    <row r="3" spans="1:24" x14ac:dyDescent="0.25">
      <c r="A3">
        <v>3</v>
      </c>
      <c r="B3" t="str">
        <v>Mark Wilson</v>
      </c>
      <c r="C3" t="str">
        <v>tourist</v>
      </c>
      <c r="D3" t="str">
        <v>Paris</v>
      </c>
      <c r="E3">
        <v>2019</v>
      </c>
      <c r="F3">
        <v>18</v>
      </c>
      <c r="G3">
        <v>18</v>
      </c>
      <c r="H3">
        <v>18</v>
      </c>
      <c r="I3">
        <v>45733</v>
      </c>
      <c r="J3">
        <v>10</v>
      </c>
      <c r="K3" t="str">
        <v>Station 10</v>
      </c>
      <c r="L3" t="str">
        <v>Old Town</v>
      </c>
      <c r="M3">
        <v>40</v>
      </c>
      <c r="N3">
        <v>2</v>
      </c>
      <c r="O3" t="str">
        <v>Station 2</v>
      </c>
      <c r="P3" t="str">
        <v>Kazimierz</v>
      </c>
      <c r="Q3">
        <v>45</v>
      </c>
      <c r="R3">
        <v>18</v>
      </c>
      <c r="S3">
        <v>10.1</v>
      </c>
      <c r="T3" t="str">
        <v>subscription</v>
      </c>
      <c r="U3" t="str">
        <v>standard</v>
      </c>
      <c r="V3">
        <v>2022</v>
      </c>
      <c r="W3" t="str">
        <v>active</v>
      </c>
      <c r="X3">
        <v>1</v>
      </c>
    </row>
    <row r="4" spans="1:24" x14ac:dyDescent="0.25">
      <c r="A4">
        <v>14</v>
      </c>
      <c r="B4" t="str">
        <v>Robert Wilson</v>
      </c>
      <c r="C4" t="str">
        <v>student</v>
      </c>
      <c r="D4" t="str">
        <v>Warsaw</v>
      </c>
      <c r="E4">
        <v>2022</v>
      </c>
      <c r="F4">
        <v>7</v>
      </c>
      <c r="G4">
        <v>18</v>
      </c>
      <c r="H4">
        <v>47</v>
      </c>
      <c r="I4">
        <v>45739</v>
      </c>
      <c r="J4">
        <v>8</v>
      </c>
      <c r="K4" t="str">
        <v>Station 8</v>
      </c>
      <c r="L4" t="str">
        <v>Zwierzyniec</v>
      </c>
      <c r="M4">
        <v>18</v>
      </c>
      <c r="N4">
        <v>5</v>
      </c>
      <c r="O4" t="str">
        <v>Station 5</v>
      </c>
      <c r="P4" t="str">
        <v>Zwierzyniec</v>
      </c>
      <c r="Q4">
        <v>42</v>
      </c>
      <c r="R4">
        <v>7</v>
      </c>
      <c r="S4">
        <v>8.15</v>
      </c>
      <c r="T4" t="str">
        <v>promo</v>
      </c>
      <c r="U4" t="str">
        <v>standard</v>
      </c>
      <c r="V4">
        <v>2022</v>
      </c>
      <c r="W4" t="str">
        <v>active</v>
      </c>
      <c r="X4">
        <v>7</v>
      </c>
    </row>
    <row r="5" spans="1:24" x14ac:dyDescent="0.25">
      <c r="A5">
        <v>24</v>
      </c>
      <c r="B5" t="str">
        <v>Julia Anderson</v>
      </c>
      <c r="C5" t="str">
        <v>student</v>
      </c>
      <c r="D5" t="str">
        <v>Berlin</v>
      </c>
      <c r="E5">
        <v>2023</v>
      </c>
      <c r="F5">
        <v>9</v>
      </c>
      <c r="G5">
        <v>18</v>
      </c>
      <c r="H5">
        <v>8</v>
      </c>
      <c r="I5">
        <v>45740</v>
      </c>
      <c r="J5">
        <v>1</v>
      </c>
      <c r="K5" t="str">
        <v>Station 1</v>
      </c>
      <c r="L5" t="str">
        <v>Nowa Huta</v>
      </c>
      <c r="M5">
        <v>45</v>
      </c>
      <c r="N5">
        <v>10</v>
      </c>
      <c r="O5" t="str">
        <v>Station 10</v>
      </c>
      <c r="P5" t="str">
        <v>Old Town</v>
      </c>
      <c r="Q5">
        <v>40</v>
      </c>
      <c r="R5">
        <v>9</v>
      </c>
      <c r="S5">
        <v>12.3</v>
      </c>
      <c r="T5" t="str">
        <v>single</v>
      </c>
      <c r="U5" t="str">
        <v>standard</v>
      </c>
      <c r="V5">
        <v>2022</v>
      </c>
      <c r="W5" t="str">
        <v>active</v>
      </c>
      <c r="X5">
        <v>1</v>
      </c>
    </row>
    <row r="6" spans="1:24" x14ac:dyDescent="0.25">
      <c r="A6">
        <v>14</v>
      </c>
      <c r="B6" t="str">
        <v>Robert Wilson</v>
      </c>
      <c r="C6" t="str">
        <v>student</v>
      </c>
      <c r="D6" t="str">
        <v>Warsaw</v>
      </c>
      <c r="E6">
        <v>2022</v>
      </c>
      <c r="F6">
        <v>2</v>
      </c>
      <c r="G6">
        <v>6</v>
      </c>
      <c r="H6">
        <v>22</v>
      </c>
      <c r="I6">
        <v>45731</v>
      </c>
      <c r="J6">
        <v>8</v>
      </c>
      <c r="K6" t="str">
        <v>Station 8</v>
      </c>
      <c r="L6" t="str">
        <v>Zwierzyniec</v>
      </c>
      <c r="M6">
        <v>18</v>
      </c>
      <c r="N6">
        <v>3</v>
      </c>
      <c r="O6" t="str">
        <v>Station 3</v>
      </c>
      <c r="P6" t="str">
        <v>Bronowice</v>
      </c>
      <c r="Q6">
        <v>27</v>
      </c>
      <c r="R6">
        <v>2</v>
      </c>
      <c r="S6">
        <v>11.92</v>
      </c>
      <c r="T6" t="str">
        <v>subscription</v>
      </c>
      <c r="U6" t="str">
        <v>standard</v>
      </c>
      <c r="V6">
        <v>2018</v>
      </c>
      <c r="W6" t="str">
        <v>active</v>
      </c>
      <c r="X6">
        <v>6</v>
      </c>
    </row>
    <row r="7" spans="1:24" x14ac:dyDescent="0.25">
      <c r="A7">
        <v>20</v>
      </c>
      <c r="B7" t="str">
        <v>Maria Clark</v>
      </c>
      <c r="C7" t="str">
        <v>regular</v>
      </c>
      <c r="D7" t="str">
        <v>Warsaw</v>
      </c>
      <c r="E7">
        <v>2020</v>
      </c>
      <c r="F7">
        <v>12</v>
      </c>
      <c r="G7">
        <v>3</v>
      </c>
      <c r="H7">
        <v>48</v>
      </c>
      <c r="I7">
        <v>45744</v>
      </c>
      <c r="J7">
        <v>3</v>
      </c>
      <c r="K7" t="str">
        <v>Station 3</v>
      </c>
      <c r="L7" t="str">
        <v>Bronowice</v>
      </c>
      <c r="M7">
        <v>27</v>
      </c>
      <c r="N7">
        <v>2</v>
      </c>
      <c r="O7" t="str">
        <v>Station 2</v>
      </c>
      <c r="P7" t="str">
        <v>Kazimierz</v>
      </c>
      <c r="Q7">
        <v>45</v>
      </c>
      <c r="R7">
        <v>12</v>
      </c>
      <c r="S7">
        <v>6.32</v>
      </c>
      <c r="T7" t="str">
        <v>subscription</v>
      </c>
      <c r="U7" t="str">
        <v>standard</v>
      </c>
      <c r="V7">
        <v>2017</v>
      </c>
      <c r="W7" t="str">
        <v>active</v>
      </c>
      <c r="X7">
        <v>5</v>
      </c>
    </row>
    <row r="8" spans="1:24" x14ac:dyDescent="0.25">
      <c r="A8">
        <v>20</v>
      </c>
      <c r="B8" t="str">
        <v>Maria Clark</v>
      </c>
      <c r="C8" t="str">
        <v>regular</v>
      </c>
      <c r="D8" t="str">
        <v>Warsaw</v>
      </c>
      <c r="E8">
        <v>2020</v>
      </c>
      <c r="F8">
        <v>14</v>
      </c>
      <c r="G8">
        <v>3</v>
      </c>
      <c r="H8">
        <v>31</v>
      </c>
      <c r="I8">
        <v>45738</v>
      </c>
      <c r="J8">
        <v>10</v>
      </c>
      <c r="K8" t="str">
        <v>Station 10</v>
      </c>
      <c r="L8" t="str">
        <v>Old Town</v>
      </c>
      <c r="M8">
        <v>40</v>
      </c>
      <c r="N8">
        <v>1</v>
      </c>
      <c r="O8" t="str">
        <v>Station 1</v>
      </c>
      <c r="P8" t="str">
        <v>Nowa Huta</v>
      </c>
      <c r="Q8">
        <v>45</v>
      </c>
      <c r="R8">
        <v>14</v>
      </c>
      <c r="S8">
        <v>13.84</v>
      </c>
      <c r="T8" t="str">
        <v>subscription</v>
      </c>
      <c r="U8" t="str">
        <v>standard</v>
      </c>
      <c r="V8">
        <v>2017</v>
      </c>
      <c r="W8" t="str">
        <v>active</v>
      </c>
      <c r="X8">
        <v>6</v>
      </c>
    </row>
    <row r="9" spans="1:24" x14ac:dyDescent="0.25">
      <c r="A9">
        <v>2</v>
      </c>
      <c r="B9" t="str">
        <v>Piotr Lee</v>
      </c>
      <c r="C9" t="str">
        <v>tourist</v>
      </c>
      <c r="D9" t="str">
        <v>Warsaw</v>
      </c>
      <c r="E9">
        <v>2024</v>
      </c>
      <c r="F9">
        <v>10</v>
      </c>
      <c r="G9">
        <v>19</v>
      </c>
      <c r="H9">
        <v>35</v>
      </c>
      <c r="I9">
        <v>45733</v>
      </c>
      <c r="J9">
        <v>6</v>
      </c>
      <c r="K9" t="str">
        <v>Station 6</v>
      </c>
      <c r="L9" t="str">
        <v>Podgorze</v>
      </c>
      <c r="M9">
        <v>42</v>
      </c>
      <c r="N9">
        <v>1</v>
      </c>
      <c r="O9" t="str">
        <v>Station 1</v>
      </c>
      <c r="P9" t="str">
        <v>Nowa Huta</v>
      </c>
      <c r="Q9">
        <v>45</v>
      </c>
      <c r="R9">
        <v>10</v>
      </c>
      <c r="S9">
        <v>3.98</v>
      </c>
      <c r="T9" t="str">
        <v>promo</v>
      </c>
      <c r="U9" t="str">
        <v>standard</v>
      </c>
      <c r="V9">
        <v>2021</v>
      </c>
      <c r="W9" t="str">
        <v>active</v>
      </c>
      <c r="X9">
        <v>1</v>
      </c>
    </row>
    <row r="10" spans="1:24" x14ac:dyDescent="0.25">
      <c r="A10">
        <v>4</v>
      </c>
      <c r="B10" t="str">
        <v>Alice Wilson</v>
      </c>
      <c r="C10" t="str">
        <v>student</v>
      </c>
      <c r="D10" t="str">
        <v>Prague</v>
      </c>
      <c r="E10">
        <v>2023</v>
      </c>
      <c r="F10">
        <v>13</v>
      </c>
      <c r="G10">
        <v>19</v>
      </c>
      <c r="H10">
        <v>20</v>
      </c>
      <c r="I10">
        <v>45735</v>
      </c>
      <c r="J10">
        <v>4</v>
      </c>
      <c r="K10" t="str">
        <v>Station 4</v>
      </c>
      <c r="L10" t="str">
        <v>Old Town</v>
      </c>
      <c r="M10">
        <v>21</v>
      </c>
      <c r="N10">
        <v>7</v>
      </c>
      <c r="O10" t="str">
        <v>Station 7</v>
      </c>
      <c r="P10" t="str">
        <v>Bronowice</v>
      </c>
      <c r="Q10">
        <v>44</v>
      </c>
      <c r="R10">
        <v>13</v>
      </c>
      <c r="S10">
        <v>12.99</v>
      </c>
      <c r="T10" t="str">
        <v>subscription</v>
      </c>
      <c r="U10" t="str">
        <v>standard</v>
      </c>
      <c r="V10">
        <v>2021</v>
      </c>
      <c r="W10" t="str">
        <v>active</v>
      </c>
      <c r="X10">
        <v>3</v>
      </c>
    </row>
    <row r="11" spans="1:24" x14ac:dyDescent="0.25">
      <c r="A11">
        <v>29</v>
      </c>
      <c r="B11" t="str">
        <v>Maria Garcia</v>
      </c>
      <c r="C11" t="str">
        <v>regular</v>
      </c>
      <c r="D11" t="str">
        <v>Paris</v>
      </c>
      <c r="E11">
        <v>2020</v>
      </c>
      <c r="F11">
        <v>141</v>
      </c>
      <c r="G11">
        <v>16</v>
      </c>
      <c r="H11">
        <v>12</v>
      </c>
      <c r="I11">
        <v>45717</v>
      </c>
      <c r="J11">
        <v>5</v>
      </c>
      <c r="K11" t="str">
        <v>Station 5</v>
      </c>
      <c r="L11" t="str">
        <v>Zwierzyniec</v>
      </c>
      <c r="M11">
        <v>42</v>
      </c>
      <c r="N11">
        <v>8</v>
      </c>
      <c r="O11" t="str">
        <v>Station 8</v>
      </c>
      <c r="P11" t="str">
        <v>Zwierzyniec</v>
      </c>
      <c r="Q11">
        <v>18</v>
      </c>
      <c r="R11">
        <v>141</v>
      </c>
      <c r="S11">
        <v>6.06</v>
      </c>
      <c r="T11" t="str">
        <v>subscription</v>
      </c>
      <c r="U11" t="str">
        <v>standard</v>
      </c>
      <c r="V11">
        <v>2018</v>
      </c>
      <c r="W11" t="str">
        <v>maintenance</v>
      </c>
      <c r="X11">
        <v>6</v>
      </c>
    </row>
    <row r="12" spans="1:24" x14ac:dyDescent="0.25">
      <c r="A12">
        <v>23</v>
      </c>
      <c r="B12" t="str">
        <v>Mark Nowak</v>
      </c>
      <c r="C12" t="str">
        <v>tourist</v>
      </c>
      <c r="D12" t="str">
        <v>Paris</v>
      </c>
      <c r="E12">
        <v>2023</v>
      </c>
      <c r="F12">
        <v>142</v>
      </c>
      <c r="G12">
        <v>6</v>
      </c>
      <c r="H12">
        <v>24</v>
      </c>
      <c r="I12">
        <v>45734</v>
      </c>
      <c r="J12">
        <v>10</v>
      </c>
      <c r="K12" t="str">
        <v>Station 10</v>
      </c>
      <c r="L12" t="str">
        <v>Old Town</v>
      </c>
      <c r="M12">
        <v>40</v>
      </c>
      <c r="N12">
        <v>4</v>
      </c>
      <c r="O12" t="str">
        <v>Station 4</v>
      </c>
      <c r="P12" t="str">
        <v>Old Town</v>
      </c>
      <c r="Q12">
        <v>21</v>
      </c>
      <c r="R12">
        <v>142</v>
      </c>
      <c r="S12">
        <v>14.4</v>
      </c>
      <c r="T12" t="str">
        <v>single</v>
      </c>
      <c r="U12" t="str">
        <v>standard</v>
      </c>
      <c r="V12">
        <v>2018</v>
      </c>
      <c r="W12" t="str">
        <v>active</v>
      </c>
      <c r="X12">
        <v>2</v>
      </c>
    </row>
    <row r="13" spans="1:24" x14ac:dyDescent="0.25">
      <c r="A13">
        <v>14</v>
      </c>
      <c r="B13" t="str">
        <v>Robert Wilson</v>
      </c>
      <c r="C13" t="str">
        <v>student</v>
      </c>
      <c r="D13" t="str">
        <v>Warsaw</v>
      </c>
      <c r="E13">
        <v>2022</v>
      </c>
      <c r="F13">
        <v>143</v>
      </c>
      <c r="G13">
        <v>3</v>
      </c>
      <c r="H13">
        <v>19</v>
      </c>
      <c r="I13">
        <v>45743</v>
      </c>
      <c r="J13">
        <v>1</v>
      </c>
      <c r="K13" t="str">
        <v>Station 1</v>
      </c>
      <c r="L13" t="str">
        <v>Nowa Huta</v>
      </c>
      <c r="M13">
        <v>45</v>
      </c>
      <c r="N13">
        <v>9</v>
      </c>
      <c r="O13" t="str">
        <v>Station 9</v>
      </c>
      <c r="P13" t="str">
        <v>Zwierzyniec</v>
      </c>
      <c r="Q13">
        <v>21</v>
      </c>
      <c r="R13">
        <v>143</v>
      </c>
      <c r="S13">
        <v>8.17</v>
      </c>
      <c r="T13" t="str">
        <v>subscription</v>
      </c>
      <c r="U13" t="str">
        <v>standard</v>
      </c>
      <c r="V13">
        <v>2017</v>
      </c>
      <c r="W13" t="str">
        <v>active</v>
      </c>
      <c r="X13">
        <v>4</v>
      </c>
    </row>
    <row r="14" spans="1:24" x14ac:dyDescent="0.25">
      <c r="A14">
        <v>4</v>
      </c>
      <c r="B14" t="str">
        <v>Alice Wilson</v>
      </c>
      <c r="C14" t="str">
        <v>student</v>
      </c>
      <c r="D14" t="str">
        <v>Prague</v>
      </c>
      <c r="E14">
        <v>2023</v>
      </c>
      <c r="F14">
        <v>144</v>
      </c>
      <c r="G14">
        <v>5</v>
      </c>
      <c r="H14">
        <v>36</v>
      </c>
      <c r="I14">
        <v>45746</v>
      </c>
      <c r="J14">
        <v>2</v>
      </c>
      <c r="K14" t="str">
        <v>Station 2</v>
      </c>
      <c r="L14" t="str">
        <v>Kazimierz</v>
      </c>
      <c r="M14">
        <v>45</v>
      </c>
      <c r="N14">
        <v>8</v>
      </c>
      <c r="O14" t="str">
        <v>Station 8</v>
      </c>
      <c r="P14" t="str">
        <v>Zwierzyniec</v>
      </c>
      <c r="Q14">
        <v>18</v>
      </c>
      <c r="R14">
        <v>144</v>
      </c>
      <c r="S14">
        <v>3.11</v>
      </c>
      <c r="T14" t="str">
        <v>subscription</v>
      </c>
      <c r="U14" t="str">
        <v>electric</v>
      </c>
      <c r="V14">
        <v>2021</v>
      </c>
      <c r="W14" t="str">
        <v>active</v>
      </c>
      <c r="X14">
        <v>7</v>
      </c>
    </row>
    <row r="15" spans="1:24" x14ac:dyDescent="0.25">
      <c r="A15">
        <v>23</v>
      </c>
      <c r="B15" t="str">
        <v>Mark Nowak</v>
      </c>
      <c r="C15" t="str">
        <v>tourist</v>
      </c>
      <c r="D15" t="str">
        <v>Paris</v>
      </c>
      <c r="E15">
        <v>2023</v>
      </c>
      <c r="F15">
        <v>145</v>
      </c>
      <c r="G15">
        <v>9</v>
      </c>
      <c r="H15">
        <v>31</v>
      </c>
      <c r="I15">
        <v>45743</v>
      </c>
      <c r="J15">
        <v>5</v>
      </c>
      <c r="K15" t="str">
        <v>Station 5</v>
      </c>
      <c r="L15" t="str">
        <v>Zwierzyniec</v>
      </c>
      <c r="M15">
        <v>42</v>
      </c>
      <c r="N15">
        <v>9</v>
      </c>
      <c r="O15" t="str">
        <v>Station 9</v>
      </c>
      <c r="P15" t="str">
        <v>Zwierzyniec</v>
      </c>
      <c r="Q15">
        <v>21</v>
      </c>
      <c r="R15">
        <v>145</v>
      </c>
      <c r="S15">
        <v>11.68</v>
      </c>
      <c r="T15" t="str">
        <v>subscription</v>
      </c>
      <c r="U15" t="str">
        <v>electric</v>
      </c>
      <c r="V15">
        <v>2019</v>
      </c>
      <c r="W15" t="str">
        <v>active</v>
      </c>
      <c r="X15">
        <v>4</v>
      </c>
    </row>
    <row r="16" spans="1:24" x14ac:dyDescent="0.25">
      <c r="A16">
        <v>15</v>
      </c>
      <c r="B16" t="str">
        <v>Anna Hernandez</v>
      </c>
      <c r="C16" t="str">
        <v>tourist</v>
      </c>
      <c r="D16" t="str">
        <v>London</v>
      </c>
      <c r="E16">
        <v>2020</v>
      </c>
      <c r="F16">
        <v>146</v>
      </c>
      <c r="G16">
        <v>18</v>
      </c>
      <c r="H16">
        <v>14</v>
      </c>
      <c r="I16">
        <v>45729</v>
      </c>
      <c r="J16">
        <v>8</v>
      </c>
      <c r="K16" t="str">
        <v>Station 8</v>
      </c>
      <c r="L16" t="str">
        <v>Zwierzyniec</v>
      </c>
      <c r="M16">
        <v>18</v>
      </c>
      <c r="N16">
        <v>4</v>
      </c>
      <c r="O16" t="str">
        <v>Station 4</v>
      </c>
      <c r="P16" t="str">
        <v>Old Town</v>
      </c>
      <c r="Q16">
        <v>21</v>
      </c>
      <c r="R16">
        <v>146</v>
      </c>
      <c r="S16">
        <v>3.69</v>
      </c>
      <c r="T16" t="str">
        <v>subscription</v>
      </c>
      <c r="U16" t="str">
        <v>standard</v>
      </c>
      <c r="V16">
        <v>2022</v>
      </c>
      <c r="W16" t="str">
        <v>active</v>
      </c>
      <c r="X16">
        <v>4</v>
      </c>
    </row>
    <row r="17" spans="1:24" x14ac:dyDescent="0.25">
      <c r="A17">
        <v>17</v>
      </c>
      <c r="B17" t="str">
        <v>Emma Novak</v>
      </c>
      <c r="C17" t="str">
        <v>tourist</v>
      </c>
      <c r="D17" t="str">
        <v>Prague</v>
      </c>
      <c r="E17">
        <v>2020</v>
      </c>
      <c r="F17">
        <v>147</v>
      </c>
      <c r="G17">
        <v>5</v>
      </c>
      <c r="H17">
        <v>60</v>
      </c>
      <c r="I17">
        <v>45719</v>
      </c>
      <c r="J17">
        <v>4</v>
      </c>
      <c r="K17" t="str">
        <v>Station 4</v>
      </c>
      <c r="L17" t="str">
        <v>Old Town</v>
      </c>
      <c r="M17">
        <v>21</v>
      </c>
      <c r="N17">
        <v>10</v>
      </c>
      <c r="O17" t="str">
        <v>Station 10</v>
      </c>
      <c r="P17" t="str">
        <v>Old Town</v>
      </c>
      <c r="Q17">
        <v>40</v>
      </c>
      <c r="R17">
        <v>147</v>
      </c>
      <c r="S17">
        <v>14.44</v>
      </c>
      <c r="T17" t="str">
        <v>subscription</v>
      </c>
      <c r="U17" t="str">
        <v>electric</v>
      </c>
      <c r="V17">
        <v>2021</v>
      </c>
      <c r="W17" t="str">
        <v>active</v>
      </c>
      <c r="X17">
        <v>1</v>
      </c>
    </row>
    <row r="18" spans="1:24" x14ac:dyDescent="0.25">
      <c r="A18">
        <v>11</v>
      </c>
      <c r="B18" t="str">
        <v>Daniel Clark</v>
      </c>
      <c r="C18" t="str">
        <v>student</v>
      </c>
      <c r="D18" t="str">
        <v>Vienna</v>
      </c>
      <c r="E18">
        <v>2025</v>
      </c>
      <c r="F18">
        <v>148</v>
      </c>
      <c r="G18">
        <v>17</v>
      </c>
      <c r="H18">
        <v>22</v>
      </c>
      <c r="I18">
        <v>45743</v>
      </c>
      <c r="J18">
        <v>5</v>
      </c>
      <c r="K18" t="str">
        <v>Station 5</v>
      </c>
      <c r="L18" t="str">
        <v>Zwierzyniec</v>
      </c>
      <c r="M18">
        <v>42</v>
      </c>
      <c r="N18">
        <v>7</v>
      </c>
      <c r="O18" t="str">
        <v>Station 7</v>
      </c>
      <c r="P18" t="str">
        <v>Bronowice</v>
      </c>
      <c r="Q18">
        <v>44</v>
      </c>
      <c r="R18">
        <v>148</v>
      </c>
      <c r="S18">
        <v>10.71</v>
      </c>
      <c r="T18" t="str">
        <v>subscription</v>
      </c>
      <c r="U18" t="str">
        <v>standard</v>
      </c>
      <c r="V18">
        <v>2020</v>
      </c>
      <c r="W18" t="str">
        <v>active</v>
      </c>
      <c r="X18">
        <v>4</v>
      </c>
    </row>
    <row r="19" spans="1:24" x14ac:dyDescent="0.25">
      <c r="A19">
        <v>24</v>
      </c>
      <c r="B19" t="str">
        <v>Julia Anderson</v>
      </c>
      <c r="C19" t="str">
        <v>student</v>
      </c>
      <c r="D19" t="str">
        <v>Berlin</v>
      </c>
      <c r="E19">
        <v>2023</v>
      </c>
      <c r="F19">
        <v>149</v>
      </c>
      <c r="G19">
        <v>10</v>
      </c>
      <c r="H19">
        <v>58</v>
      </c>
      <c r="I19">
        <v>45735</v>
      </c>
      <c r="J19">
        <v>1</v>
      </c>
      <c r="K19" t="str">
        <v>Station 1</v>
      </c>
      <c r="L19" t="str">
        <v>Nowa Huta</v>
      </c>
      <c r="M19">
        <v>45</v>
      </c>
      <c r="N19">
        <v>5</v>
      </c>
      <c r="O19" t="str">
        <v>Station 5</v>
      </c>
      <c r="P19" t="str">
        <v>Zwierzyniec</v>
      </c>
      <c r="Q19">
        <v>42</v>
      </c>
      <c r="R19">
        <v>149</v>
      </c>
      <c r="S19">
        <v>13.36</v>
      </c>
      <c r="T19" t="str">
        <v>promo</v>
      </c>
      <c r="U19" t="str">
        <v>cargo</v>
      </c>
      <c r="V19">
        <v>2023</v>
      </c>
      <c r="W19" t="str">
        <v>retired</v>
      </c>
      <c r="X19">
        <v>3</v>
      </c>
    </row>
    <row r="20" spans="1:24" x14ac:dyDescent="0.25">
      <c r="A20">
        <v>28</v>
      </c>
      <c r="B20" t="str">
        <v>Alice Garcia</v>
      </c>
      <c r="C20" t="str">
        <v>tourist</v>
      </c>
      <c r="D20" t="str">
        <v>Vienna</v>
      </c>
      <c r="E20">
        <v>2025</v>
      </c>
      <c r="F20">
        <v>150</v>
      </c>
      <c r="G20">
        <v>5</v>
      </c>
      <c r="H20">
        <v>33</v>
      </c>
      <c r="I20">
        <v>45734</v>
      </c>
      <c r="J20">
        <v>10</v>
      </c>
      <c r="K20" t="str">
        <v>Station 10</v>
      </c>
      <c r="L20" t="str">
        <v>Old Town</v>
      </c>
      <c r="M20">
        <v>40</v>
      </c>
      <c r="N20">
        <v>8</v>
      </c>
      <c r="O20" t="str">
        <v>Station 8</v>
      </c>
      <c r="P20" t="str">
        <v>Zwierzyniec</v>
      </c>
      <c r="Q20">
        <v>18</v>
      </c>
      <c r="R20">
        <v>150</v>
      </c>
      <c r="S20">
        <v>7.5</v>
      </c>
      <c r="T20" t="str">
        <v>promo</v>
      </c>
      <c r="U20" t="str">
        <v>electric</v>
      </c>
      <c r="V20">
        <v>2021</v>
      </c>
      <c r="W20" t="str">
        <v>active</v>
      </c>
      <c r="X20">
        <v>2</v>
      </c>
    </row>
    <row r="25" spans="1:24" x14ac:dyDescent="0.25">
      <c r="A25" s="3" t="s">
        <v>105</v>
      </c>
      <c r="B25" t="s">
        <v>107</v>
      </c>
      <c r="I25" s="3" t="s">
        <v>105</v>
      </c>
      <c r="J25" t="s">
        <v>109</v>
      </c>
      <c r="N25" t="s">
        <v>110</v>
      </c>
    </row>
    <row r="26" spans="1:24" x14ac:dyDescent="0.25">
      <c r="A26" s="4" t="s">
        <v>84</v>
      </c>
      <c r="B26" s="1">
        <v>5</v>
      </c>
      <c r="I26" s="4" t="s">
        <v>65</v>
      </c>
      <c r="J26" s="1">
        <v>58.5</v>
      </c>
      <c r="N26" s="1">
        <v>1307.7000000000003</v>
      </c>
    </row>
    <row r="27" spans="1:24" x14ac:dyDescent="0.25">
      <c r="A27" s="4" t="s">
        <v>53</v>
      </c>
      <c r="B27" s="1">
        <v>7</v>
      </c>
      <c r="I27" s="4" t="s">
        <v>71</v>
      </c>
      <c r="J27" s="1">
        <v>44.5</v>
      </c>
    </row>
    <row r="28" spans="1:24" x14ac:dyDescent="0.25">
      <c r="A28" s="4" t="s">
        <v>59</v>
      </c>
      <c r="B28" s="1">
        <v>4</v>
      </c>
      <c r="I28" s="4" t="s">
        <v>82</v>
      </c>
      <c r="J28" s="1">
        <v>43.666666666666664</v>
      </c>
    </row>
    <row r="29" spans="1:24" x14ac:dyDescent="0.25">
      <c r="A29" s="4" t="s">
        <v>68</v>
      </c>
      <c r="B29" s="1">
        <v>6</v>
      </c>
      <c r="I29" s="4" t="s">
        <v>79</v>
      </c>
      <c r="J29" s="1">
        <v>43.666666666666664</v>
      </c>
    </row>
    <row r="30" spans="1:24" x14ac:dyDescent="0.25">
      <c r="A30" s="4" t="s">
        <v>60</v>
      </c>
      <c r="B30" s="1">
        <v>5</v>
      </c>
      <c r="I30" s="4" t="s">
        <v>69</v>
      </c>
      <c r="J30" s="1">
        <v>41.5</v>
      </c>
    </row>
    <row r="31" spans="1:24" x14ac:dyDescent="0.25">
      <c r="A31" s="4" t="s">
        <v>46</v>
      </c>
      <c r="B31" s="1">
        <v>5</v>
      </c>
      <c r="I31" s="4" t="s">
        <v>70</v>
      </c>
      <c r="J31" s="1">
        <v>41</v>
      </c>
    </row>
    <row r="32" spans="1:24" x14ac:dyDescent="0.25">
      <c r="A32" s="4" t="s">
        <v>64</v>
      </c>
      <c r="B32" s="1">
        <v>8</v>
      </c>
      <c r="I32" s="4" t="s">
        <v>80</v>
      </c>
      <c r="J32" s="1">
        <v>40.666666666666664</v>
      </c>
    </row>
    <row r="33" spans="1:10" x14ac:dyDescent="0.25">
      <c r="A33" s="4" t="s">
        <v>81</v>
      </c>
      <c r="B33" s="1">
        <v>5</v>
      </c>
      <c r="I33" s="4" t="s">
        <v>81</v>
      </c>
      <c r="J33" s="1">
        <v>35.4</v>
      </c>
    </row>
    <row r="34" spans="1:10" x14ac:dyDescent="0.25">
      <c r="A34" s="4" t="s">
        <v>62</v>
      </c>
      <c r="B34" s="1">
        <v>6</v>
      </c>
      <c r="I34" s="4" t="s">
        <v>66</v>
      </c>
      <c r="J34" s="1">
        <v>34.5</v>
      </c>
    </row>
    <row r="35" spans="1:10" x14ac:dyDescent="0.25">
      <c r="A35" s="4" t="s">
        <v>70</v>
      </c>
      <c r="B35" s="1">
        <v>2</v>
      </c>
      <c r="I35" s="4" t="s">
        <v>64</v>
      </c>
      <c r="J35" s="1">
        <v>34</v>
      </c>
    </row>
    <row r="36" spans="1:10" x14ac:dyDescent="0.25">
      <c r="A36" s="4" t="s">
        <v>66</v>
      </c>
      <c r="B36" s="1">
        <v>2</v>
      </c>
      <c r="I36" s="4" t="s">
        <v>53</v>
      </c>
      <c r="J36" s="1">
        <v>33.571428571428569</v>
      </c>
    </row>
    <row r="37" spans="1:10" x14ac:dyDescent="0.25">
      <c r="A37" s="4" t="s">
        <v>76</v>
      </c>
      <c r="B37" s="1">
        <v>4</v>
      </c>
      <c r="I37" s="4" t="s">
        <v>86</v>
      </c>
      <c r="J37" s="1">
        <v>32.5</v>
      </c>
    </row>
    <row r="38" spans="1:10" x14ac:dyDescent="0.25">
      <c r="A38" s="4" t="s">
        <v>80</v>
      </c>
      <c r="B38" s="1">
        <v>3</v>
      </c>
      <c r="I38" s="4" t="s">
        <v>84</v>
      </c>
      <c r="J38" s="1">
        <v>31.4</v>
      </c>
    </row>
    <row r="39" spans="1:10" x14ac:dyDescent="0.25">
      <c r="A39" s="4" t="s">
        <v>83</v>
      </c>
      <c r="B39" s="1">
        <v>4</v>
      </c>
      <c r="I39" s="4" t="s">
        <v>67</v>
      </c>
      <c r="J39" s="1">
        <v>30.9</v>
      </c>
    </row>
    <row r="40" spans="1:10" x14ac:dyDescent="0.25">
      <c r="A40" s="4" t="s">
        <v>75</v>
      </c>
      <c r="B40" s="1">
        <v>12</v>
      </c>
      <c r="I40" s="4" t="s">
        <v>59</v>
      </c>
      <c r="J40" s="1">
        <v>30.25</v>
      </c>
    </row>
    <row r="41" spans="1:10" x14ac:dyDescent="0.25">
      <c r="A41" s="4" t="s">
        <v>85</v>
      </c>
      <c r="B41" s="1">
        <v>4</v>
      </c>
      <c r="I41" s="4" t="s">
        <v>77</v>
      </c>
      <c r="J41" s="1">
        <v>28</v>
      </c>
    </row>
    <row r="42" spans="1:10" x14ac:dyDescent="0.25">
      <c r="A42" s="4" t="s">
        <v>73</v>
      </c>
      <c r="B42" s="1">
        <v>2</v>
      </c>
      <c r="I42" s="4" t="s">
        <v>62</v>
      </c>
      <c r="J42" s="1">
        <v>27.666666666666668</v>
      </c>
    </row>
    <row r="43" spans="1:10" x14ac:dyDescent="0.25">
      <c r="A43" s="4" t="s">
        <v>57</v>
      </c>
      <c r="B43" s="1">
        <v>3</v>
      </c>
      <c r="I43" s="4" t="s">
        <v>85</v>
      </c>
      <c r="J43" s="1">
        <v>26.75</v>
      </c>
    </row>
    <row r="44" spans="1:10" x14ac:dyDescent="0.25">
      <c r="A44" s="4" t="s">
        <v>79</v>
      </c>
      <c r="B44" s="1">
        <v>6</v>
      </c>
      <c r="I44" s="4" t="s">
        <v>63</v>
      </c>
      <c r="J44" s="1">
        <v>26.333333333333332</v>
      </c>
    </row>
    <row r="45" spans="1:10" x14ac:dyDescent="0.25">
      <c r="A45" s="4" t="s">
        <v>51</v>
      </c>
      <c r="B45" s="1">
        <v>7</v>
      </c>
      <c r="I45" s="4" t="s">
        <v>46</v>
      </c>
      <c r="J45" s="1">
        <v>25.8</v>
      </c>
    </row>
    <row r="46" spans="1:10" x14ac:dyDescent="0.25">
      <c r="A46" s="4" t="s">
        <v>82</v>
      </c>
      <c r="B46" s="1">
        <v>3</v>
      </c>
      <c r="I46" s="4" t="s">
        <v>75</v>
      </c>
      <c r="J46" s="1">
        <v>25.333333333333332</v>
      </c>
    </row>
    <row r="47" spans="1:10" x14ac:dyDescent="0.25">
      <c r="A47" s="4" t="s">
        <v>86</v>
      </c>
      <c r="B47" s="1">
        <v>4</v>
      </c>
      <c r="I47" s="4" t="s">
        <v>51</v>
      </c>
      <c r="J47" s="1">
        <v>24.857142857142858</v>
      </c>
    </row>
    <row r="48" spans="1:10" x14ac:dyDescent="0.25">
      <c r="A48" s="4" t="s">
        <v>71</v>
      </c>
      <c r="B48" s="1">
        <v>4</v>
      </c>
      <c r="I48" s="4" t="s">
        <v>68</v>
      </c>
      <c r="J48" s="1">
        <v>23.833333333333332</v>
      </c>
    </row>
    <row r="49" spans="1:10" x14ac:dyDescent="0.25">
      <c r="A49" s="4" t="s">
        <v>77</v>
      </c>
      <c r="B49" s="1">
        <v>5</v>
      </c>
      <c r="I49" s="4" t="s">
        <v>83</v>
      </c>
      <c r="J49" s="1">
        <v>23.5</v>
      </c>
    </row>
    <row r="50" spans="1:10" x14ac:dyDescent="0.25">
      <c r="A50" s="4" t="s">
        <v>65</v>
      </c>
      <c r="B50" s="1">
        <v>2</v>
      </c>
      <c r="I50" s="4" t="s">
        <v>56</v>
      </c>
      <c r="J50" s="1">
        <v>23.333333333333332</v>
      </c>
    </row>
    <row r="51" spans="1:10" x14ac:dyDescent="0.25">
      <c r="A51" s="4" t="s">
        <v>56</v>
      </c>
      <c r="B51" s="1">
        <v>6</v>
      </c>
      <c r="I51" s="4" t="s">
        <v>60</v>
      </c>
      <c r="J51" s="1">
        <v>21</v>
      </c>
    </row>
    <row r="52" spans="1:10" x14ac:dyDescent="0.25">
      <c r="A52" s="4" t="s">
        <v>49</v>
      </c>
      <c r="B52" s="1">
        <v>4</v>
      </c>
      <c r="I52" s="4" t="s">
        <v>76</v>
      </c>
      <c r="J52" s="1">
        <v>20.75</v>
      </c>
    </row>
    <row r="53" spans="1:10" x14ac:dyDescent="0.25">
      <c r="A53" s="4" t="s">
        <v>67</v>
      </c>
      <c r="B53" s="1">
        <v>10</v>
      </c>
      <c r="I53" s="4" t="s">
        <v>49</v>
      </c>
      <c r="J53" s="1">
        <v>18.75</v>
      </c>
    </row>
    <row r="54" spans="1:10" x14ac:dyDescent="0.25">
      <c r="A54" s="4" t="s">
        <v>69</v>
      </c>
      <c r="B54" s="1">
        <v>6</v>
      </c>
      <c r="I54" s="4" t="s">
        <v>57</v>
      </c>
      <c r="J54" s="1">
        <v>18.333333333333332</v>
      </c>
    </row>
    <row r="55" spans="1:10" x14ac:dyDescent="0.25">
      <c r="A55" s="4" t="s">
        <v>63</v>
      </c>
      <c r="B55" s="1">
        <v>6</v>
      </c>
      <c r="I55" s="4" t="s">
        <v>73</v>
      </c>
      <c r="J55" s="1">
        <v>10.5</v>
      </c>
    </row>
    <row r="56" spans="1:10" x14ac:dyDescent="0.25">
      <c r="A56" s="4" t="s">
        <v>106</v>
      </c>
      <c r="B56" s="1">
        <v>150</v>
      </c>
    </row>
    <row r="62" spans="1:10" x14ac:dyDescent="0.25">
      <c r="A62" s="3" t="s">
        <v>105</v>
      </c>
      <c r="B62" t="s">
        <v>110</v>
      </c>
    </row>
    <row r="63" spans="1:10" x14ac:dyDescent="0.25">
      <c r="A63" s="4" t="s">
        <v>16</v>
      </c>
      <c r="B63" s="1">
        <v>145.76999999999998</v>
      </c>
    </row>
    <row r="64" spans="1:10" x14ac:dyDescent="0.25">
      <c r="A64" s="4" t="s">
        <v>15</v>
      </c>
      <c r="B64" s="1">
        <v>376.14999999999992</v>
      </c>
    </row>
    <row r="65" spans="1:3" x14ac:dyDescent="0.25">
      <c r="A65" s="4" t="s">
        <v>14</v>
      </c>
      <c r="B65" s="1">
        <v>785.78000000000009</v>
      </c>
    </row>
    <row r="66" spans="1:3" x14ac:dyDescent="0.25">
      <c r="A66" s="4" t="s">
        <v>106</v>
      </c>
      <c r="B66" s="1">
        <v>1307.6999999999998</v>
      </c>
    </row>
    <row r="71" spans="1:3" x14ac:dyDescent="0.25">
      <c r="A71" s="3" t="s">
        <v>105</v>
      </c>
      <c r="B71" t="s">
        <v>108</v>
      </c>
    </row>
    <row r="72" spans="1:3" x14ac:dyDescent="0.25">
      <c r="A72" s="4" t="s">
        <v>73</v>
      </c>
      <c r="B72" s="1">
        <v>21</v>
      </c>
      <c r="C72" t="str">
        <f>IF($B72&lt;=103,"low_activity ",IF($B72&gt;206,"high_activity","medium_activity"))</f>
        <v xml:space="preserve">low_activity </v>
      </c>
    </row>
    <row r="73" spans="1:3" x14ac:dyDescent="0.25">
      <c r="A73" s="4" t="s">
        <v>57</v>
      </c>
      <c r="B73" s="1">
        <v>55</v>
      </c>
      <c r="C73" t="str">
        <f t="shared" ref="C73:C101" si="0">IF($B73&lt;=103,"low_activity ",IF($B73&gt;206,"high_activity","medium_activity"))</f>
        <v xml:space="preserve">low_activity </v>
      </c>
    </row>
    <row r="74" spans="1:3" x14ac:dyDescent="0.25">
      <c r="A74" s="4" t="s">
        <v>66</v>
      </c>
      <c r="B74" s="1">
        <v>69</v>
      </c>
      <c r="C74" t="str">
        <f t="shared" si="0"/>
        <v xml:space="preserve">low_activity </v>
      </c>
    </row>
    <row r="75" spans="1:3" x14ac:dyDescent="0.25">
      <c r="A75" s="4" t="s">
        <v>49</v>
      </c>
      <c r="B75" s="1">
        <v>75</v>
      </c>
      <c r="C75" t="str">
        <f t="shared" si="0"/>
        <v xml:space="preserve">low_activity </v>
      </c>
    </row>
    <row r="76" spans="1:3" x14ac:dyDescent="0.25">
      <c r="A76" s="4" t="s">
        <v>70</v>
      </c>
      <c r="B76" s="1">
        <v>82</v>
      </c>
      <c r="C76" t="str">
        <f t="shared" si="0"/>
        <v xml:space="preserve">low_activity </v>
      </c>
    </row>
    <row r="77" spans="1:3" x14ac:dyDescent="0.25">
      <c r="A77" s="4" t="s">
        <v>76</v>
      </c>
      <c r="B77" s="1">
        <v>83</v>
      </c>
      <c r="C77" t="str">
        <f t="shared" si="0"/>
        <v xml:space="preserve">low_activity </v>
      </c>
    </row>
    <row r="78" spans="1:3" x14ac:dyDescent="0.25">
      <c r="A78" s="4" t="s">
        <v>83</v>
      </c>
      <c r="B78" s="1">
        <v>94</v>
      </c>
      <c r="C78" t="str">
        <f t="shared" si="0"/>
        <v xml:space="preserve">low_activity </v>
      </c>
    </row>
    <row r="79" spans="1:3" x14ac:dyDescent="0.25">
      <c r="A79" s="4" t="s">
        <v>60</v>
      </c>
      <c r="B79" s="1">
        <v>105</v>
      </c>
      <c r="C79" t="str">
        <f t="shared" si="0"/>
        <v>medium_activity</v>
      </c>
    </row>
    <row r="80" spans="1:3" x14ac:dyDescent="0.25">
      <c r="A80" s="4" t="s">
        <v>85</v>
      </c>
      <c r="B80" s="1">
        <v>107</v>
      </c>
      <c r="C80" t="str">
        <f t="shared" si="0"/>
        <v>medium_activity</v>
      </c>
    </row>
    <row r="81" spans="1:3" x14ac:dyDescent="0.25">
      <c r="A81" s="4" t="s">
        <v>65</v>
      </c>
      <c r="B81" s="1">
        <v>117</v>
      </c>
      <c r="C81" t="str">
        <f t="shared" si="0"/>
        <v>medium_activity</v>
      </c>
    </row>
    <row r="82" spans="1:3" x14ac:dyDescent="0.25">
      <c r="A82" s="4" t="s">
        <v>59</v>
      </c>
      <c r="B82" s="1">
        <v>121</v>
      </c>
      <c r="C82" t="str">
        <f t="shared" si="0"/>
        <v>medium_activity</v>
      </c>
    </row>
    <row r="83" spans="1:3" x14ac:dyDescent="0.25">
      <c r="A83" s="4" t="s">
        <v>80</v>
      </c>
      <c r="B83" s="1">
        <v>122</v>
      </c>
      <c r="C83" t="str">
        <f t="shared" si="0"/>
        <v>medium_activity</v>
      </c>
    </row>
    <row r="84" spans="1:3" x14ac:dyDescent="0.25">
      <c r="A84" s="4" t="s">
        <v>46</v>
      </c>
      <c r="B84" s="1">
        <v>129</v>
      </c>
      <c r="C84" t="str">
        <f t="shared" si="0"/>
        <v>medium_activity</v>
      </c>
    </row>
    <row r="85" spans="1:3" x14ac:dyDescent="0.25">
      <c r="A85" s="4" t="s">
        <v>86</v>
      </c>
      <c r="B85" s="1">
        <v>130</v>
      </c>
      <c r="C85" t="str">
        <f t="shared" si="0"/>
        <v>medium_activity</v>
      </c>
    </row>
    <row r="86" spans="1:3" x14ac:dyDescent="0.25">
      <c r="A86" s="4" t="s">
        <v>82</v>
      </c>
      <c r="B86" s="1">
        <v>131</v>
      </c>
      <c r="C86" t="str">
        <f t="shared" si="0"/>
        <v>medium_activity</v>
      </c>
    </row>
    <row r="87" spans="1:3" x14ac:dyDescent="0.25">
      <c r="A87" s="4" t="s">
        <v>77</v>
      </c>
      <c r="B87" s="1">
        <v>140</v>
      </c>
      <c r="C87" t="str">
        <f t="shared" si="0"/>
        <v>medium_activity</v>
      </c>
    </row>
    <row r="88" spans="1:3" x14ac:dyDescent="0.25">
      <c r="A88" s="4" t="s">
        <v>56</v>
      </c>
      <c r="B88" s="1">
        <v>140</v>
      </c>
      <c r="C88" t="str">
        <f t="shared" si="0"/>
        <v>medium_activity</v>
      </c>
    </row>
    <row r="89" spans="1:3" x14ac:dyDescent="0.25">
      <c r="A89" s="4" t="s">
        <v>68</v>
      </c>
      <c r="B89" s="1">
        <v>143</v>
      </c>
      <c r="C89" t="str">
        <f t="shared" si="0"/>
        <v>medium_activity</v>
      </c>
    </row>
    <row r="90" spans="1:3" x14ac:dyDescent="0.25">
      <c r="A90" s="4" t="s">
        <v>84</v>
      </c>
      <c r="B90" s="1">
        <v>157</v>
      </c>
      <c r="C90" t="str">
        <f t="shared" si="0"/>
        <v>medium_activity</v>
      </c>
    </row>
    <row r="91" spans="1:3" x14ac:dyDescent="0.25">
      <c r="A91" s="4" t="s">
        <v>63</v>
      </c>
      <c r="B91" s="1">
        <v>158</v>
      </c>
      <c r="C91" t="str">
        <f t="shared" si="0"/>
        <v>medium_activity</v>
      </c>
    </row>
    <row r="92" spans="1:3" x14ac:dyDescent="0.25">
      <c r="A92" s="4" t="s">
        <v>62</v>
      </c>
      <c r="B92" s="1">
        <v>166</v>
      </c>
      <c r="C92" t="str">
        <f t="shared" si="0"/>
        <v>medium_activity</v>
      </c>
    </row>
    <row r="93" spans="1:3" x14ac:dyDescent="0.25">
      <c r="A93" s="4" t="s">
        <v>51</v>
      </c>
      <c r="B93" s="1">
        <v>174</v>
      </c>
      <c r="C93" t="str">
        <f t="shared" si="0"/>
        <v>medium_activity</v>
      </c>
    </row>
    <row r="94" spans="1:3" x14ac:dyDescent="0.25">
      <c r="A94" s="4" t="s">
        <v>81</v>
      </c>
      <c r="B94" s="1">
        <v>177</v>
      </c>
      <c r="C94" t="str">
        <f t="shared" si="0"/>
        <v>medium_activity</v>
      </c>
    </row>
    <row r="95" spans="1:3" x14ac:dyDescent="0.25">
      <c r="A95" s="4" t="s">
        <v>71</v>
      </c>
      <c r="B95" s="1">
        <v>178</v>
      </c>
      <c r="C95" t="str">
        <f t="shared" si="0"/>
        <v>medium_activity</v>
      </c>
    </row>
    <row r="96" spans="1:3" x14ac:dyDescent="0.25">
      <c r="A96" s="4" t="s">
        <v>53</v>
      </c>
      <c r="B96" s="1">
        <v>235</v>
      </c>
      <c r="C96" t="str">
        <f t="shared" si="0"/>
        <v>high_activity</v>
      </c>
    </row>
    <row r="97" spans="1:7" x14ac:dyDescent="0.25">
      <c r="A97" s="4" t="s">
        <v>69</v>
      </c>
      <c r="B97" s="1">
        <v>249</v>
      </c>
      <c r="C97" t="str">
        <f t="shared" si="0"/>
        <v>high_activity</v>
      </c>
    </row>
    <row r="98" spans="1:7" x14ac:dyDescent="0.25">
      <c r="A98" s="4" t="s">
        <v>79</v>
      </c>
      <c r="B98" s="1">
        <v>262</v>
      </c>
      <c r="C98" t="str">
        <f t="shared" si="0"/>
        <v>high_activity</v>
      </c>
    </row>
    <row r="99" spans="1:7" x14ac:dyDescent="0.25">
      <c r="A99" s="4" t="s">
        <v>64</v>
      </c>
      <c r="B99" s="1">
        <v>272</v>
      </c>
      <c r="C99" t="str">
        <f t="shared" si="0"/>
        <v>high_activity</v>
      </c>
    </row>
    <row r="100" spans="1:7" x14ac:dyDescent="0.25">
      <c r="A100" s="4" t="s">
        <v>75</v>
      </c>
      <c r="B100" s="1">
        <v>304</v>
      </c>
      <c r="C100" t="str">
        <f t="shared" si="0"/>
        <v>high_activity</v>
      </c>
    </row>
    <row r="101" spans="1:7" x14ac:dyDescent="0.25">
      <c r="A101" s="4" t="s">
        <v>67</v>
      </c>
      <c r="B101" s="1">
        <v>309</v>
      </c>
      <c r="C101" t="str">
        <f t="shared" si="0"/>
        <v>high_activity</v>
      </c>
    </row>
    <row r="105" spans="1:7" x14ac:dyDescent="0.25">
      <c r="A105" s="3" t="s">
        <v>105</v>
      </c>
      <c r="B105" t="s">
        <v>112</v>
      </c>
      <c r="D105" s="3" t="s">
        <v>105</v>
      </c>
      <c r="E105" t="s">
        <v>113</v>
      </c>
    </row>
    <row r="106" spans="1:7" x14ac:dyDescent="0.25">
      <c r="A106" s="4" t="s">
        <v>26</v>
      </c>
      <c r="B106" s="1">
        <v>14</v>
      </c>
      <c r="D106" s="4" t="s">
        <v>26</v>
      </c>
      <c r="E106" s="1">
        <v>11</v>
      </c>
      <c r="G106">
        <f>$B106-$E106</f>
        <v>3</v>
      </c>
    </row>
    <row r="107" spans="1:7" x14ac:dyDescent="0.25">
      <c r="A107" s="4" t="s">
        <v>41</v>
      </c>
      <c r="B107" s="1">
        <v>20</v>
      </c>
      <c r="D107" s="4" t="s">
        <v>41</v>
      </c>
      <c r="E107" s="1">
        <v>13</v>
      </c>
      <c r="G107">
        <f t="shared" ref="G107:G115" si="1">$B107-$E107</f>
        <v>7</v>
      </c>
    </row>
    <row r="108" spans="1:7" x14ac:dyDescent="0.25">
      <c r="A108" s="4" t="s">
        <v>28</v>
      </c>
      <c r="B108" s="1">
        <v>12</v>
      </c>
      <c r="D108" s="4" t="s">
        <v>28</v>
      </c>
      <c r="E108" s="1">
        <v>15</v>
      </c>
      <c r="G108">
        <f t="shared" si="1"/>
        <v>-3</v>
      </c>
    </row>
    <row r="109" spans="1:7" x14ac:dyDescent="0.25">
      <c r="A109" s="4" t="s">
        <v>30</v>
      </c>
      <c r="B109" s="1">
        <v>12</v>
      </c>
      <c r="D109" s="4" t="s">
        <v>30</v>
      </c>
      <c r="E109" s="1">
        <v>12</v>
      </c>
      <c r="G109">
        <f t="shared" si="1"/>
        <v>0</v>
      </c>
    </row>
    <row r="110" spans="1:7" x14ac:dyDescent="0.25">
      <c r="A110" s="4" t="s">
        <v>32</v>
      </c>
      <c r="B110" s="1">
        <v>20</v>
      </c>
      <c r="D110" s="4" t="s">
        <v>32</v>
      </c>
      <c r="E110" s="1">
        <v>12</v>
      </c>
      <c r="G110">
        <f t="shared" si="1"/>
        <v>8</v>
      </c>
    </row>
    <row r="111" spans="1:7" x14ac:dyDescent="0.25">
      <c r="A111" s="4" t="s">
        <v>34</v>
      </c>
      <c r="B111" s="1">
        <v>23</v>
      </c>
      <c r="D111" s="4" t="s">
        <v>34</v>
      </c>
      <c r="E111" s="1">
        <v>15</v>
      </c>
      <c r="G111">
        <f t="shared" si="1"/>
        <v>8</v>
      </c>
    </row>
    <row r="112" spans="1:7" x14ac:dyDescent="0.25">
      <c r="A112" s="4" t="s">
        <v>36</v>
      </c>
      <c r="B112" s="1">
        <v>9</v>
      </c>
      <c r="D112" s="4" t="s">
        <v>36</v>
      </c>
      <c r="E112" s="1">
        <v>15</v>
      </c>
      <c r="G112">
        <f t="shared" si="1"/>
        <v>-6</v>
      </c>
    </row>
    <row r="113" spans="1:8" x14ac:dyDescent="0.25">
      <c r="A113" s="4" t="s">
        <v>38</v>
      </c>
      <c r="B113" s="1">
        <v>10</v>
      </c>
      <c r="D113" s="4" t="s">
        <v>38</v>
      </c>
      <c r="E113" s="1">
        <v>18</v>
      </c>
      <c r="G113">
        <f t="shared" si="1"/>
        <v>-8</v>
      </c>
    </row>
    <row r="114" spans="1:8" x14ac:dyDescent="0.25">
      <c r="A114" s="4" t="s">
        <v>39</v>
      </c>
      <c r="B114" s="1">
        <v>15</v>
      </c>
      <c r="D114" s="4" t="s">
        <v>39</v>
      </c>
      <c r="E114" s="1">
        <v>20</v>
      </c>
      <c r="G114">
        <f t="shared" si="1"/>
        <v>-5</v>
      </c>
    </row>
    <row r="115" spans="1:8" x14ac:dyDescent="0.25">
      <c r="A115" s="4" t="s">
        <v>40</v>
      </c>
      <c r="B115" s="1">
        <v>15</v>
      </c>
      <c r="D115" s="4" t="s">
        <v>40</v>
      </c>
      <c r="E115" s="1">
        <v>19</v>
      </c>
      <c r="G115">
        <f t="shared" si="1"/>
        <v>-4</v>
      </c>
    </row>
    <row r="116" spans="1:8" x14ac:dyDescent="0.25">
      <c r="A116" s="4" t="s">
        <v>106</v>
      </c>
      <c r="B116" s="1">
        <v>150</v>
      </c>
      <c r="D116" s="4" t="s">
        <v>106</v>
      </c>
      <c r="E116" s="1">
        <v>150</v>
      </c>
    </row>
    <row r="123" spans="1:8" x14ac:dyDescent="0.25">
      <c r="A123" s="4" t="s">
        <v>115</v>
      </c>
      <c r="B123" s="1" t="s">
        <v>116</v>
      </c>
      <c r="C123" s="1" t="s">
        <v>117</v>
      </c>
      <c r="D123" t="s">
        <v>114</v>
      </c>
      <c r="E123" t="s">
        <v>118</v>
      </c>
      <c r="H123" t="e" cm="1">
        <f t="array" ref="H123">dzie</f>
        <v>#NAME?</v>
      </c>
    </row>
    <row r="124" spans="1:8" x14ac:dyDescent="0.25">
      <c r="A124" s="4" t="s">
        <v>26</v>
      </c>
      <c r="B124" s="1">
        <v>14</v>
      </c>
      <c r="C124" s="1">
        <v>11</v>
      </c>
      <c r="D124">
        <f>Tabela8[[#This Row],[Ilość startów]]-Tabela8[[#This Row],[Ilość końców]]</f>
        <v>3</v>
      </c>
      <c r="E124" s="1" t="str">
        <f>IF(ABS(Tabela8[[#This Row],[Inbalans]])&lt;=3,"balanced",IF(Tabela8[[#This Row],[Inbalans]]&gt;3,"source","sink"))</f>
        <v>balanced</v>
      </c>
    </row>
    <row r="125" spans="1:8" x14ac:dyDescent="0.25">
      <c r="A125" s="4" t="s">
        <v>41</v>
      </c>
      <c r="B125" s="1">
        <v>20</v>
      </c>
      <c r="C125" s="1">
        <v>13</v>
      </c>
      <c r="D125">
        <f>Tabela8[[#This Row],[Ilość startów]]-Tabela8[[#This Row],[Ilość końców]]</f>
        <v>7</v>
      </c>
      <c r="E125" s="1" t="str">
        <f>IF(ABS(Tabela8[[#This Row],[Inbalans]])&lt;=3,"balanced",IF(Tabela8[[#This Row],[Inbalans]]&gt;3,"source","sink"))</f>
        <v>source</v>
      </c>
    </row>
    <row r="126" spans="1:8" x14ac:dyDescent="0.25">
      <c r="A126" s="4" t="s">
        <v>28</v>
      </c>
      <c r="B126" s="1">
        <v>12</v>
      </c>
      <c r="C126" s="1">
        <v>15</v>
      </c>
      <c r="D126">
        <f>Tabela8[[#This Row],[Ilość startów]]-Tabela8[[#This Row],[Ilość końców]]</f>
        <v>-3</v>
      </c>
      <c r="E126" s="1" t="str">
        <f>IF(ABS(Tabela8[[#This Row],[Inbalans]])&lt;=3,"balanced",IF(Tabela8[[#This Row],[Inbalans]]&gt;3,"source","sink"))</f>
        <v>balanced</v>
      </c>
    </row>
    <row r="127" spans="1:8" x14ac:dyDescent="0.25">
      <c r="A127" s="4" t="s">
        <v>30</v>
      </c>
      <c r="B127" s="1">
        <v>12</v>
      </c>
      <c r="C127" s="1">
        <v>12</v>
      </c>
      <c r="D127">
        <f>Tabela8[[#This Row],[Ilość startów]]-Tabela8[[#This Row],[Ilość końców]]</f>
        <v>0</v>
      </c>
      <c r="E127" s="1" t="str">
        <f>IF(ABS(Tabela8[[#This Row],[Inbalans]])&lt;=3,"balanced",IF(Tabela8[[#This Row],[Inbalans]]&gt;3,"source","sink"))</f>
        <v>balanced</v>
      </c>
    </row>
    <row r="128" spans="1:8" x14ac:dyDescent="0.25">
      <c r="A128" s="4" t="s">
        <v>32</v>
      </c>
      <c r="B128" s="1">
        <v>20</v>
      </c>
      <c r="C128" s="1">
        <v>12</v>
      </c>
      <c r="D128">
        <f>Tabela8[[#This Row],[Ilość startów]]-Tabela8[[#This Row],[Ilość końców]]</f>
        <v>8</v>
      </c>
      <c r="E128" s="1" t="str">
        <f>IF(ABS(Tabela8[[#This Row],[Inbalans]])&lt;=3,"balanced",IF(Tabela8[[#This Row],[Inbalans]]&gt;3,"source","sink"))</f>
        <v>source</v>
      </c>
    </row>
    <row r="129" spans="1:5" x14ac:dyDescent="0.25">
      <c r="A129" s="4" t="s">
        <v>34</v>
      </c>
      <c r="B129" s="1">
        <v>23</v>
      </c>
      <c r="C129" s="1">
        <v>15</v>
      </c>
      <c r="D129">
        <f>Tabela8[[#This Row],[Ilość startów]]-Tabela8[[#This Row],[Ilość końców]]</f>
        <v>8</v>
      </c>
      <c r="E129" s="1" t="str">
        <f>IF(ABS(Tabela8[[#This Row],[Inbalans]])&lt;=3,"balanced",IF(Tabela8[[#This Row],[Inbalans]]&gt;3,"source","sink"))</f>
        <v>source</v>
      </c>
    </row>
    <row r="130" spans="1:5" x14ac:dyDescent="0.25">
      <c r="A130" s="4" t="s">
        <v>36</v>
      </c>
      <c r="B130" s="1">
        <v>9</v>
      </c>
      <c r="C130" s="1">
        <v>15</v>
      </c>
      <c r="D130">
        <f>Tabela8[[#This Row],[Ilość startów]]-Tabela8[[#This Row],[Ilość końców]]</f>
        <v>-6</v>
      </c>
      <c r="E130" s="1" t="str">
        <f>IF(ABS(Tabela8[[#This Row],[Inbalans]])&lt;=3,"balanced",IF(Tabela8[[#This Row],[Inbalans]]&gt;3,"source","sink"))</f>
        <v>sink</v>
      </c>
    </row>
    <row r="131" spans="1:5" x14ac:dyDescent="0.25">
      <c r="A131" s="4" t="s">
        <v>38</v>
      </c>
      <c r="B131" s="1">
        <v>10</v>
      </c>
      <c r="C131" s="1">
        <v>18</v>
      </c>
      <c r="D131">
        <f>Tabela8[[#This Row],[Ilość startów]]-Tabela8[[#This Row],[Ilość końców]]</f>
        <v>-8</v>
      </c>
      <c r="E131" s="1" t="str">
        <f>IF(ABS(Tabela8[[#This Row],[Inbalans]])&lt;=3,"balanced",IF(Tabela8[[#This Row],[Inbalans]]&gt;3,"source","sink"))</f>
        <v>sink</v>
      </c>
    </row>
    <row r="132" spans="1:5" x14ac:dyDescent="0.25">
      <c r="A132" s="4" t="s">
        <v>39</v>
      </c>
      <c r="B132" s="1">
        <v>15</v>
      </c>
      <c r="C132" s="1">
        <v>20</v>
      </c>
      <c r="D132">
        <f>Tabela8[[#This Row],[Ilość startów]]-Tabela8[[#This Row],[Ilość końców]]</f>
        <v>-5</v>
      </c>
      <c r="E132" s="1" t="str">
        <f>IF(ABS(Tabela8[[#This Row],[Inbalans]])&lt;=3,"balanced",IF(Tabela8[[#This Row],[Inbalans]]&gt;3,"source","sink"))</f>
        <v>sink</v>
      </c>
    </row>
    <row r="133" spans="1:5" x14ac:dyDescent="0.25">
      <c r="A133" s="4" t="s">
        <v>40</v>
      </c>
      <c r="B133" s="1">
        <v>15</v>
      </c>
      <c r="C133" s="1">
        <v>19</v>
      </c>
      <c r="D133">
        <f>Tabela8[[#This Row],[Ilość startów]]-Tabela8[[#This Row],[Ilość końców]]</f>
        <v>-4</v>
      </c>
      <c r="E133" s="1" t="str">
        <f>IF(ABS(Tabela8[[#This Row],[Inbalans]])&lt;=3,"balanced",IF(Tabela8[[#This Row],[Inbalans]]&gt;3,"source","sink"))</f>
        <v>sink</v>
      </c>
    </row>
  </sheetData>
  <autoFilter ref="A71:B102" xr:uid="{C706EC0A-92F1-4DCD-8931-6786B0C2BEA9}"/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156E-07F6-4520-9526-EB3EBE969145}">
  <dimension ref="A1:E31"/>
  <sheetViews>
    <sheetView workbookViewId="0"/>
  </sheetViews>
  <sheetFormatPr defaultRowHeight="15" x14ac:dyDescent="0.25"/>
  <cols>
    <col min="1" max="1" width="9.85546875" bestFit="1" customWidth="1"/>
    <col min="2" max="2" width="17.28515625" bestFit="1" customWidth="1"/>
    <col min="3" max="3" width="12.140625" bestFit="1" customWidth="1"/>
    <col min="4" max="4" width="8.140625" bestFit="1" customWidth="1"/>
    <col min="5" max="5" width="18.5703125" bestFit="1" customWidth="1"/>
  </cols>
  <sheetData>
    <row r="1" spans="1:5" x14ac:dyDescent="0.25">
      <c r="A1" t="s">
        <v>17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>
        <v>1</v>
      </c>
      <c r="B2" s="1" t="s">
        <v>46</v>
      </c>
      <c r="C2" s="1" t="s">
        <v>47</v>
      </c>
      <c r="D2" s="1" t="s">
        <v>48</v>
      </c>
      <c r="E2">
        <v>2020</v>
      </c>
    </row>
    <row r="3" spans="1:5" x14ac:dyDescent="0.25">
      <c r="A3">
        <v>2</v>
      </c>
      <c r="B3" s="1" t="s">
        <v>49</v>
      </c>
      <c r="C3" s="1" t="s">
        <v>47</v>
      </c>
      <c r="D3" s="1" t="s">
        <v>50</v>
      </c>
      <c r="E3">
        <v>2024</v>
      </c>
    </row>
    <row r="4" spans="1:5" x14ac:dyDescent="0.25">
      <c r="A4">
        <v>3</v>
      </c>
      <c r="B4" s="1" t="s">
        <v>51</v>
      </c>
      <c r="C4" s="1" t="s">
        <v>47</v>
      </c>
      <c r="D4" s="1" t="s">
        <v>52</v>
      </c>
      <c r="E4">
        <v>2019</v>
      </c>
    </row>
    <row r="5" spans="1:5" x14ac:dyDescent="0.25">
      <c r="A5">
        <v>4</v>
      </c>
      <c r="B5" s="1" t="s">
        <v>53</v>
      </c>
      <c r="C5" s="1" t="s">
        <v>54</v>
      </c>
      <c r="D5" s="1" t="s">
        <v>55</v>
      </c>
      <c r="E5">
        <v>2023</v>
      </c>
    </row>
    <row r="6" spans="1:5" x14ac:dyDescent="0.25">
      <c r="A6">
        <v>5</v>
      </c>
      <c r="B6" s="1" t="s">
        <v>56</v>
      </c>
      <c r="C6" s="1" t="s">
        <v>47</v>
      </c>
      <c r="D6" s="1" t="s">
        <v>55</v>
      </c>
      <c r="E6">
        <v>2024</v>
      </c>
    </row>
    <row r="7" spans="1:5" x14ac:dyDescent="0.25">
      <c r="A7">
        <v>6</v>
      </c>
      <c r="B7" s="1" t="s">
        <v>57</v>
      </c>
      <c r="C7" s="1" t="s">
        <v>54</v>
      </c>
      <c r="D7" s="1" t="s">
        <v>58</v>
      </c>
      <c r="E7">
        <v>2023</v>
      </c>
    </row>
    <row r="8" spans="1:5" x14ac:dyDescent="0.25">
      <c r="A8">
        <v>7</v>
      </c>
      <c r="B8" s="1" t="s">
        <v>59</v>
      </c>
      <c r="C8" s="1" t="s">
        <v>54</v>
      </c>
      <c r="D8" s="1" t="s">
        <v>52</v>
      </c>
      <c r="E8">
        <v>2021</v>
      </c>
    </row>
    <row r="9" spans="1:5" x14ac:dyDescent="0.25">
      <c r="A9">
        <v>8</v>
      </c>
      <c r="B9" s="1" t="s">
        <v>60</v>
      </c>
      <c r="C9" s="1" t="s">
        <v>54</v>
      </c>
      <c r="D9" s="1" t="s">
        <v>61</v>
      </c>
      <c r="E9">
        <v>2019</v>
      </c>
    </row>
    <row r="10" spans="1:5" x14ac:dyDescent="0.25">
      <c r="A10">
        <v>9</v>
      </c>
      <c r="B10" s="1" t="s">
        <v>62</v>
      </c>
      <c r="C10" s="1" t="s">
        <v>54</v>
      </c>
      <c r="D10" s="1" t="s">
        <v>61</v>
      </c>
      <c r="E10">
        <v>2025</v>
      </c>
    </row>
    <row r="11" spans="1:5" x14ac:dyDescent="0.25">
      <c r="A11">
        <v>10</v>
      </c>
      <c r="B11" s="1" t="s">
        <v>63</v>
      </c>
      <c r="C11" s="1" t="s">
        <v>54</v>
      </c>
      <c r="D11" s="1" t="s">
        <v>58</v>
      </c>
      <c r="E11">
        <v>2023</v>
      </c>
    </row>
    <row r="12" spans="1:5" x14ac:dyDescent="0.25">
      <c r="A12">
        <v>11</v>
      </c>
      <c r="B12" s="1" t="s">
        <v>64</v>
      </c>
      <c r="C12" s="1" t="s">
        <v>54</v>
      </c>
      <c r="D12" s="1" t="s">
        <v>48</v>
      </c>
      <c r="E12">
        <v>2025</v>
      </c>
    </row>
    <row r="13" spans="1:5" x14ac:dyDescent="0.25">
      <c r="A13">
        <v>12</v>
      </c>
      <c r="B13" s="1" t="s">
        <v>65</v>
      </c>
      <c r="C13" s="1" t="s">
        <v>47</v>
      </c>
      <c r="D13" s="1" t="s">
        <v>55</v>
      </c>
      <c r="E13">
        <v>2024</v>
      </c>
    </row>
    <row r="14" spans="1:5" x14ac:dyDescent="0.25">
      <c r="A14">
        <v>13</v>
      </c>
      <c r="B14" s="1" t="s">
        <v>66</v>
      </c>
      <c r="C14" s="1" t="s">
        <v>47</v>
      </c>
      <c r="D14" s="1" t="s">
        <v>55</v>
      </c>
      <c r="E14">
        <v>2025</v>
      </c>
    </row>
    <row r="15" spans="1:5" x14ac:dyDescent="0.25">
      <c r="A15">
        <v>14</v>
      </c>
      <c r="B15" s="1" t="s">
        <v>67</v>
      </c>
      <c r="C15" s="1" t="s">
        <v>54</v>
      </c>
      <c r="D15" s="1" t="s">
        <v>50</v>
      </c>
      <c r="E15">
        <v>2022</v>
      </c>
    </row>
    <row r="16" spans="1:5" x14ac:dyDescent="0.25">
      <c r="A16">
        <v>15</v>
      </c>
      <c r="B16" s="1" t="s">
        <v>68</v>
      </c>
      <c r="C16" s="1" t="s">
        <v>47</v>
      </c>
      <c r="D16" s="1" t="s">
        <v>61</v>
      </c>
      <c r="E16">
        <v>2020</v>
      </c>
    </row>
    <row r="17" spans="1:5" x14ac:dyDescent="0.25">
      <c r="A17">
        <v>16</v>
      </c>
      <c r="B17" s="1" t="s">
        <v>69</v>
      </c>
      <c r="C17" s="1" t="s">
        <v>54</v>
      </c>
      <c r="D17" s="1" t="s">
        <v>48</v>
      </c>
      <c r="E17">
        <v>2024</v>
      </c>
    </row>
    <row r="18" spans="1:5" x14ac:dyDescent="0.25">
      <c r="A18">
        <v>17</v>
      </c>
      <c r="B18" s="1" t="s">
        <v>70</v>
      </c>
      <c r="C18" s="1" t="s">
        <v>47</v>
      </c>
      <c r="D18" s="1" t="s">
        <v>55</v>
      </c>
      <c r="E18">
        <v>2020</v>
      </c>
    </row>
    <row r="19" spans="1:5" x14ac:dyDescent="0.25">
      <c r="A19">
        <v>18</v>
      </c>
      <c r="B19" s="1" t="s">
        <v>71</v>
      </c>
      <c r="C19" s="1" t="s">
        <v>72</v>
      </c>
      <c r="D19" s="1" t="s">
        <v>55</v>
      </c>
      <c r="E19">
        <v>2024</v>
      </c>
    </row>
    <row r="20" spans="1:5" x14ac:dyDescent="0.25">
      <c r="A20">
        <v>19</v>
      </c>
      <c r="B20" s="1" t="s">
        <v>73</v>
      </c>
      <c r="C20" s="1" t="s">
        <v>54</v>
      </c>
      <c r="D20" s="1" t="s">
        <v>74</v>
      </c>
      <c r="E20">
        <v>2025</v>
      </c>
    </row>
    <row r="21" spans="1:5" x14ac:dyDescent="0.25">
      <c r="A21">
        <v>20</v>
      </c>
      <c r="B21" s="1" t="s">
        <v>75</v>
      </c>
      <c r="C21" s="1" t="s">
        <v>72</v>
      </c>
      <c r="D21" s="1" t="s">
        <v>50</v>
      </c>
      <c r="E21">
        <v>2020</v>
      </c>
    </row>
    <row r="22" spans="1:5" x14ac:dyDescent="0.25">
      <c r="A22">
        <v>21</v>
      </c>
      <c r="B22" s="1" t="s">
        <v>76</v>
      </c>
      <c r="C22" s="1" t="s">
        <v>54</v>
      </c>
      <c r="D22" s="1" t="s">
        <v>58</v>
      </c>
      <c r="E22">
        <v>2022</v>
      </c>
    </row>
    <row r="23" spans="1:5" x14ac:dyDescent="0.25">
      <c r="A23">
        <v>22</v>
      </c>
      <c r="B23" s="1" t="s">
        <v>77</v>
      </c>
      <c r="C23" s="1" t="s">
        <v>72</v>
      </c>
      <c r="D23" s="1" t="s">
        <v>78</v>
      </c>
      <c r="E23">
        <v>2020</v>
      </c>
    </row>
    <row r="24" spans="1:5" x14ac:dyDescent="0.25">
      <c r="A24">
        <v>23</v>
      </c>
      <c r="B24" s="1" t="s">
        <v>79</v>
      </c>
      <c r="C24" s="1" t="s">
        <v>47</v>
      </c>
      <c r="D24" s="1" t="s">
        <v>52</v>
      </c>
      <c r="E24">
        <v>2023</v>
      </c>
    </row>
    <row r="25" spans="1:5" x14ac:dyDescent="0.25">
      <c r="A25">
        <v>24</v>
      </c>
      <c r="B25" s="1" t="s">
        <v>80</v>
      </c>
      <c r="C25" s="1" t="s">
        <v>54</v>
      </c>
      <c r="D25" s="1" t="s">
        <v>78</v>
      </c>
      <c r="E25">
        <v>2023</v>
      </c>
    </row>
    <row r="26" spans="1:5" x14ac:dyDescent="0.25">
      <c r="A26">
        <v>25</v>
      </c>
      <c r="B26" s="1" t="s">
        <v>81</v>
      </c>
      <c r="C26" s="1" t="s">
        <v>54</v>
      </c>
      <c r="D26" s="1" t="s">
        <v>50</v>
      </c>
      <c r="E26">
        <v>2020</v>
      </c>
    </row>
    <row r="27" spans="1:5" x14ac:dyDescent="0.25">
      <c r="A27">
        <v>26</v>
      </c>
      <c r="B27" s="1" t="s">
        <v>82</v>
      </c>
      <c r="C27" s="1" t="s">
        <v>47</v>
      </c>
      <c r="D27" s="1" t="s">
        <v>50</v>
      </c>
      <c r="E27">
        <v>2022</v>
      </c>
    </row>
    <row r="28" spans="1:5" x14ac:dyDescent="0.25">
      <c r="A28">
        <v>27</v>
      </c>
      <c r="B28" s="1" t="s">
        <v>83</v>
      </c>
      <c r="C28" s="1" t="s">
        <v>47</v>
      </c>
      <c r="D28" s="1" t="s">
        <v>48</v>
      </c>
      <c r="E28">
        <v>2023</v>
      </c>
    </row>
    <row r="29" spans="1:5" x14ac:dyDescent="0.25">
      <c r="A29">
        <v>28</v>
      </c>
      <c r="B29" s="1" t="s">
        <v>84</v>
      </c>
      <c r="C29" s="1" t="s">
        <v>47</v>
      </c>
      <c r="D29" s="1" t="s">
        <v>48</v>
      </c>
      <c r="E29">
        <v>2025</v>
      </c>
    </row>
    <row r="30" spans="1:5" x14ac:dyDescent="0.25">
      <c r="A30">
        <v>29</v>
      </c>
      <c r="B30" s="1" t="s">
        <v>85</v>
      </c>
      <c r="C30" s="1" t="s">
        <v>72</v>
      </c>
      <c r="D30" s="1" t="s">
        <v>52</v>
      </c>
      <c r="E30">
        <v>2020</v>
      </c>
    </row>
    <row r="31" spans="1:5" x14ac:dyDescent="0.25">
      <c r="A31">
        <v>30</v>
      </c>
      <c r="B31" s="1" t="s">
        <v>86</v>
      </c>
      <c r="C31" s="1" t="s">
        <v>47</v>
      </c>
      <c r="D31" s="1" t="s">
        <v>48</v>
      </c>
      <c r="E31">
        <v>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EB1A-2041-471A-AF1B-C84AC55A68CF}">
  <dimension ref="A1:D11"/>
  <sheetViews>
    <sheetView workbookViewId="0"/>
  </sheetViews>
  <sheetFormatPr defaultRowHeight="15" x14ac:dyDescent="0.25"/>
  <cols>
    <col min="1" max="1" width="12.140625" bestFit="1" customWidth="1"/>
    <col min="2" max="2" width="15.5703125" bestFit="1" customWidth="1"/>
    <col min="3" max="3" width="11.140625" bestFit="1" customWidth="1"/>
    <col min="4" max="4" width="10.7109375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 s="1" t="s">
        <v>26</v>
      </c>
      <c r="C2" s="1" t="s">
        <v>27</v>
      </c>
      <c r="D2">
        <v>45</v>
      </c>
    </row>
    <row r="3" spans="1:4" x14ac:dyDescent="0.25">
      <c r="A3">
        <v>2</v>
      </c>
      <c r="B3" s="1" t="s">
        <v>28</v>
      </c>
      <c r="C3" s="1" t="s">
        <v>29</v>
      </c>
      <c r="D3">
        <v>45</v>
      </c>
    </row>
    <row r="4" spans="1:4" x14ac:dyDescent="0.25">
      <c r="A4">
        <v>3</v>
      </c>
      <c r="B4" s="1" t="s">
        <v>30</v>
      </c>
      <c r="C4" s="1" t="s">
        <v>31</v>
      </c>
      <c r="D4">
        <v>27</v>
      </c>
    </row>
    <row r="5" spans="1:4" x14ac:dyDescent="0.25">
      <c r="A5">
        <v>4</v>
      </c>
      <c r="B5" s="1" t="s">
        <v>32</v>
      </c>
      <c r="C5" s="1" t="s">
        <v>33</v>
      </c>
      <c r="D5">
        <v>21</v>
      </c>
    </row>
    <row r="6" spans="1:4" x14ac:dyDescent="0.25">
      <c r="A6">
        <v>5</v>
      </c>
      <c r="B6" s="1" t="s">
        <v>34</v>
      </c>
      <c r="C6" s="1" t="s">
        <v>35</v>
      </c>
      <c r="D6">
        <v>42</v>
      </c>
    </row>
    <row r="7" spans="1:4" x14ac:dyDescent="0.25">
      <c r="A7">
        <v>6</v>
      </c>
      <c r="B7" s="1" t="s">
        <v>36</v>
      </c>
      <c r="C7" s="1" t="s">
        <v>37</v>
      </c>
      <c r="D7">
        <v>42</v>
      </c>
    </row>
    <row r="8" spans="1:4" x14ac:dyDescent="0.25">
      <c r="A8">
        <v>7</v>
      </c>
      <c r="B8" s="1" t="s">
        <v>38</v>
      </c>
      <c r="C8" s="1" t="s">
        <v>31</v>
      </c>
      <c r="D8">
        <v>44</v>
      </c>
    </row>
    <row r="9" spans="1:4" x14ac:dyDescent="0.25">
      <c r="A9">
        <v>8</v>
      </c>
      <c r="B9" s="1" t="s">
        <v>39</v>
      </c>
      <c r="C9" s="1" t="s">
        <v>35</v>
      </c>
      <c r="D9">
        <v>18</v>
      </c>
    </row>
    <row r="10" spans="1:4" x14ac:dyDescent="0.25">
      <c r="A10">
        <v>9</v>
      </c>
      <c r="B10" s="1" t="s">
        <v>40</v>
      </c>
      <c r="C10" s="1" t="s">
        <v>35</v>
      </c>
      <c r="D10">
        <v>21</v>
      </c>
    </row>
    <row r="11" spans="1:4" x14ac:dyDescent="0.25">
      <c r="A11">
        <v>10</v>
      </c>
      <c r="B11" s="1" t="s">
        <v>41</v>
      </c>
      <c r="C11" s="1" t="s">
        <v>33</v>
      </c>
      <c r="D11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C5B6-89E0-4498-BD03-EB2C44A12282}">
  <dimension ref="A1:G151"/>
  <sheetViews>
    <sheetView workbookViewId="0"/>
  </sheetViews>
  <sheetFormatPr defaultRowHeight="15" x14ac:dyDescent="0.25"/>
  <cols>
    <col min="1" max="1" width="9.42578125" bestFit="1" customWidth="1"/>
    <col min="2" max="2" width="9.85546875" bestFit="1" customWidth="1"/>
    <col min="3" max="3" width="9.7109375" bestFit="1" customWidth="1"/>
    <col min="4" max="4" width="14.5703125" bestFit="1" customWidth="1"/>
    <col min="5" max="5" width="13.85546875" bestFit="1" customWidth="1"/>
    <col min="6" max="6" width="15.140625" bestFit="1" customWidth="1"/>
    <col min="7" max="7" width="11.7109375" bestFit="1" customWidth="1"/>
  </cols>
  <sheetData>
    <row r="1" spans="1:7" x14ac:dyDescent="0.25">
      <c r="A1" t="s">
        <v>11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v>1</v>
      </c>
      <c r="B2">
        <v>8</v>
      </c>
      <c r="C2">
        <v>7</v>
      </c>
      <c r="D2">
        <v>6</v>
      </c>
      <c r="E2">
        <v>2</v>
      </c>
      <c r="F2">
        <v>17</v>
      </c>
      <c r="G2" s="2">
        <v>45734</v>
      </c>
    </row>
    <row r="3" spans="1:7" x14ac:dyDescent="0.25">
      <c r="A3">
        <v>2</v>
      </c>
      <c r="B3">
        <v>14</v>
      </c>
      <c r="C3">
        <v>6</v>
      </c>
      <c r="D3">
        <v>8</v>
      </c>
      <c r="E3">
        <v>3</v>
      </c>
      <c r="F3">
        <v>22</v>
      </c>
      <c r="G3" s="2">
        <v>45731</v>
      </c>
    </row>
    <row r="4" spans="1:7" x14ac:dyDescent="0.25">
      <c r="A4">
        <v>3</v>
      </c>
      <c r="B4">
        <v>15</v>
      </c>
      <c r="C4">
        <v>18</v>
      </c>
      <c r="D4">
        <v>4</v>
      </c>
      <c r="E4">
        <v>2</v>
      </c>
      <c r="F4">
        <v>11</v>
      </c>
      <c r="G4" s="2">
        <v>45718</v>
      </c>
    </row>
    <row r="5" spans="1:7" x14ac:dyDescent="0.25">
      <c r="A5">
        <v>4</v>
      </c>
      <c r="B5">
        <v>3</v>
      </c>
      <c r="C5">
        <v>8</v>
      </c>
      <c r="D5">
        <v>9</v>
      </c>
      <c r="E5">
        <v>1</v>
      </c>
      <c r="F5">
        <v>15</v>
      </c>
      <c r="G5" s="2">
        <v>45730</v>
      </c>
    </row>
    <row r="6" spans="1:7" x14ac:dyDescent="0.25">
      <c r="A6">
        <v>5</v>
      </c>
      <c r="B6">
        <v>28</v>
      </c>
      <c r="C6">
        <v>13</v>
      </c>
      <c r="D6">
        <v>8</v>
      </c>
      <c r="E6">
        <v>4</v>
      </c>
      <c r="F6">
        <v>8</v>
      </c>
      <c r="G6" s="2">
        <v>45722</v>
      </c>
    </row>
    <row r="7" spans="1:7" x14ac:dyDescent="0.25">
      <c r="A7">
        <v>6</v>
      </c>
      <c r="B7">
        <v>13</v>
      </c>
      <c r="C7">
        <v>9</v>
      </c>
      <c r="D7">
        <v>7</v>
      </c>
      <c r="E7">
        <v>1</v>
      </c>
      <c r="F7">
        <v>55</v>
      </c>
      <c r="G7" s="2">
        <v>45742</v>
      </c>
    </row>
    <row r="8" spans="1:7" x14ac:dyDescent="0.25">
      <c r="A8">
        <v>7</v>
      </c>
      <c r="B8">
        <v>14</v>
      </c>
      <c r="C8">
        <v>18</v>
      </c>
      <c r="D8">
        <v>8</v>
      </c>
      <c r="E8">
        <v>5</v>
      </c>
      <c r="F8">
        <v>47</v>
      </c>
      <c r="G8" s="2">
        <v>45739</v>
      </c>
    </row>
    <row r="9" spans="1:7" x14ac:dyDescent="0.25">
      <c r="A9">
        <v>8</v>
      </c>
      <c r="B9">
        <v>7</v>
      </c>
      <c r="C9">
        <v>10</v>
      </c>
      <c r="D9">
        <v>8</v>
      </c>
      <c r="E9">
        <v>3</v>
      </c>
      <c r="F9">
        <v>18</v>
      </c>
      <c r="G9" s="2">
        <v>45747</v>
      </c>
    </row>
    <row r="10" spans="1:7" x14ac:dyDescent="0.25">
      <c r="A10">
        <v>9</v>
      </c>
      <c r="B10">
        <v>24</v>
      </c>
      <c r="C10">
        <v>18</v>
      </c>
      <c r="D10">
        <v>1</v>
      </c>
      <c r="E10">
        <v>10</v>
      </c>
      <c r="F10">
        <v>8</v>
      </c>
      <c r="G10" s="2">
        <v>45740</v>
      </c>
    </row>
    <row r="11" spans="1:7" x14ac:dyDescent="0.25">
      <c r="A11">
        <v>10</v>
      </c>
      <c r="B11">
        <v>2</v>
      </c>
      <c r="C11">
        <v>19</v>
      </c>
      <c r="D11">
        <v>6</v>
      </c>
      <c r="E11">
        <v>1</v>
      </c>
      <c r="F11">
        <v>35</v>
      </c>
      <c r="G11" s="2">
        <v>45733</v>
      </c>
    </row>
    <row r="12" spans="1:7" x14ac:dyDescent="0.25">
      <c r="A12">
        <v>11</v>
      </c>
      <c r="B12">
        <v>2</v>
      </c>
      <c r="C12">
        <v>17</v>
      </c>
      <c r="D12">
        <v>9</v>
      </c>
      <c r="E12">
        <v>3</v>
      </c>
      <c r="F12">
        <v>10</v>
      </c>
      <c r="G12" s="2">
        <v>45744</v>
      </c>
    </row>
    <row r="13" spans="1:7" x14ac:dyDescent="0.25">
      <c r="A13">
        <v>12</v>
      </c>
      <c r="B13">
        <v>20</v>
      </c>
      <c r="C13">
        <v>3</v>
      </c>
      <c r="D13">
        <v>3</v>
      </c>
      <c r="E13">
        <v>2</v>
      </c>
      <c r="F13">
        <v>48</v>
      </c>
      <c r="G13" s="2">
        <v>45744</v>
      </c>
    </row>
    <row r="14" spans="1:7" x14ac:dyDescent="0.25">
      <c r="A14">
        <v>13</v>
      </c>
      <c r="B14">
        <v>4</v>
      </c>
      <c r="C14">
        <v>19</v>
      </c>
      <c r="D14">
        <v>4</v>
      </c>
      <c r="E14">
        <v>7</v>
      </c>
      <c r="F14">
        <v>20</v>
      </c>
      <c r="G14" s="2">
        <v>45735</v>
      </c>
    </row>
    <row r="15" spans="1:7" x14ac:dyDescent="0.25">
      <c r="A15">
        <v>14</v>
      </c>
      <c r="B15">
        <v>20</v>
      </c>
      <c r="C15">
        <v>3</v>
      </c>
      <c r="D15">
        <v>10</v>
      </c>
      <c r="E15">
        <v>1</v>
      </c>
      <c r="F15">
        <v>31</v>
      </c>
      <c r="G15" s="2">
        <v>45738</v>
      </c>
    </row>
    <row r="16" spans="1:7" x14ac:dyDescent="0.25">
      <c r="A16">
        <v>15</v>
      </c>
      <c r="B16">
        <v>11</v>
      </c>
      <c r="C16">
        <v>9</v>
      </c>
      <c r="D16">
        <v>10</v>
      </c>
      <c r="E16">
        <v>9</v>
      </c>
      <c r="F16">
        <v>18</v>
      </c>
      <c r="G16" s="2">
        <v>45738</v>
      </c>
    </row>
    <row r="17" spans="1:7" x14ac:dyDescent="0.25">
      <c r="A17">
        <v>16</v>
      </c>
      <c r="B17">
        <v>9</v>
      </c>
      <c r="C17">
        <v>13</v>
      </c>
      <c r="D17">
        <v>6</v>
      </c>
      <c r="E17">
        <v>4</v>
      </c>
      <c r="F17">
        <v>13</v>
      </c>
      <c r="G17" s="2">
        <v>45738</v>
      </c>
    </row>
    <row r="18" spans="1:7" x14ac:dyDescent="0.25">
      <c r="A18">
        <v>17</v>
      </c>
      <c r="B18">
        <v>11</v>
      </c>
      <c r="C18">
        <v>3</v>
      </c>
      <c r="D18">
        <v>5</v>
      </c>
      <c r="E18">
        <v>8</v>
      </c>
      <c r="F18">
        <v>5</v>
      </c>
      <c r="G18" s="2">
        <v>45731</v>
      </c>
    </row>
    <row r="19" spans="1:7" x14ac:dyDescent="0.25">
      <c r="A19">
        <v>18</v>
      </c>
      <c r="B19">
        <v>3</v>
      </c>
      <c r="C19">
        <v>18</v>
      </c>
      <c r="D19">
        <v>10</v>
      </c>
      <c r="E19">
        <v>2</v>
      </c>
      <c r="F19">
        <v>18</v>
      </c>
      <c r="G19" s="2">
        <v>45733</v>
      </c>
    </row>
    <row r="20" spans="1:7" x14ac:dyDescent="0.25">
      <c r="A20">
        <v>19</v>
      </c>
      <c r="B20">
        <v>30</v>
      </c>
      <c r="C20">
        <v>12</v>
      </c>
      <c r="D20">
        <v>5</v>
      </c>
      <c r="E20">
        <v>3</v>
      </c>
      <c r="F20">
        <v>9</v>
      </c>
      <c r="G20" s="2">
        <v>45745</v>
      </c>
    </row>
    <row r="21" spans="1:7" x14ac:dyDescent="0.25">
      <c r="A21">
        <v>20</v>
      </c>
      <c r="B21">
        <v>10</v>
      </c>
      <c r="C21">
        <v>6</v>
      </c>
      <c r="D21">
        <v>4</v>
      </c>
      <c r="E21">
        <v>6</v>
      </c>
      <c r="F21">
        <v>33</v>
      </c>
      <c r="G21" s="2">
        <v>45743</v>
      </c>
    </row>
    <row r="22" spans="1:7" x14ac:dyDescent="0.25">
      <c r="A22">
        <v>21</v>
      </c>
      <c r="B22">
        <v>20</v>
      </c>
      <c r="C22">
        <v>17</v>
      </c>
      <c r="D22">
        <v>9</v>
      </c>
      <c r="E22">
        <v>5</v>
      </c>
      <c r="F22">
        <v>5</v>
      </c>
      <c r="G22" s="2">
        <v>45738</v>
      </c>
    </row>
    <row r="23" spans="1:7" x14ac:dyDescent="0.25">
      <c r="A23">
        <v>22</v>
      </c>
      <c r="B23">
        <v>30</v>
      </c>
      <c r="C23">
        <v>4</v>
      </c>
      <c r="D23">
        <v>9</v>
      </c>
      <c r="E23">
        <v>5</v>
      </c>
      <c r="F23">
        <v>13</v>
      </c>
      <c r="G23" s="2">
        <v>45725</v>
      </c>
    </row>
    <row r="24" spans="1:7" x14ac:dyDescent="0.25">
      <c r="A24">
        <v>23</v>
      </c>
      <c r="B24">
        <v>5</v>
      </c>
      <c r="C24">
        <v>9</v>
      </c>
      <c r="D24">
        <v>2</v>
      </c>
      <c r="E24">
        <v>9</v>
      </c>
      <c r="F24">
        <v>23</v>
      </c>
      <c r="G24" s="2">
        <v>45736</v>
      </c>
    </row>
    <row r="25" spans="1:7" x14ac:dyDescent="0.25">
      <c r="A25">
        <v>24</v>
      </c>
      <c r="B25">
        <v>7</v>
      </c>
      <c r="C25">
        <v>9</v>
      </c>
      <c r="D25">
        <v>4</v>
      </c>
      <c r="E25">
        <v>6</v>
      </c>
      <c r="F25">
        <v>37</v>
      </c>
      <c r="G25" s="2">
        <v>45732</v>
      </c>
    </row>
    <row r="26" spans="1:7" x14ac:dyDescent="0.25">
      <c r="A26">
        <v>25</v>
      </c>
      <c r="B26">
        <v>3</v>
      </c>
      <c r="C26">
        <v>14</v>
      </c>
      <c r="D26">
        <v>5</v>
      </c>
      <c r="E26">
        <v>1</v>
      </c>
      <c r="F26">
        <v>58</v>
      </c>
      <c r="G26" s="2">
        <v>45725</v>
      </c>
    </row>
    <row r="27" spans="1:7" x14ac:dyDescent="0.25">
      <c r="A27">
        <v>26</v>
      </c>
      <c r="B27">
        <v>25</v>
      </c>
      <c r="C27">
        <v>5</v>
      </c>
      <c r="D27">
        <v>1</v>
      </c>
      <c r="E27">
        <v>6</v>
      </c>
      <c r="F27">
        <v>45</v>
      </c>
      <c r="G27" s="2">
        <v>45725</v>
      </c>
    </row>
    <row r="28" spans="1:7" x14ac:dyDescent="0.25">
      <c r="A28">
        <v>27</v>
      </c>
      <c r="B28">
        <v>18</v>
      </c>
      <c r="C28">
        <v>14</v>
      </c>
      <c r="D28">
        <v>3</v>
      </c>
      <c r="E28">
        <v>8</v>
      </c>
      <c r="F28">
        <v>40</v>
      </c>
      <c r="G28" s="2">
        <v>45717</v>
      </c>
    </row>
    <row r="29" spans="1:7" x14ac:dyDescent="0.25">
      <c r="A29">
        <v>28</v>
      </c>
      <c r="B29">
        <v>18</v>
      </c>
      <c r="C29">
        <v>2</v>
      </c>
      <c r="D29">
        <v>2</v>
      </c>
      <c r="E29">
        <v>3</v>
      </c>
      <c r="F29">
        <v>58</v>
      </c>
      <c r="G29" s="2">
        <v>45728</v>
      </c>
    </row>
    <row r="30" spans="1:7" x14ac:dyDescent="0.25">
      <c r="A30">
        <v>29</v>
      </c>
      <c r="B30">
        <v>5</v>
      </c>
      <c r="C30">
        <v>14</v>
      </c>
      <c r="D30">
        <v>10</v>
      </c>
      <c r="E30">
        <v>9</v>
      </c>
      <c r="F30">
        <v>13</v>
      </c>
      <c r="G30" s="2">
        <v>45718</v>
      </c>
    </row>
    <row r="31" spans="1:7" x14ac:dyDescent="0.25">
      <c r="A31">
        <v>30</v>
      </c>
      <c r="B31">
        <v>29</v>
      </c>
      <c r="C31">
        <v>2</v>
      </c>
      <c r="D31">
        <v>5</v>
      </c>
      <c r="E31">
        <v>6</v>
      </c>
      <c r="F31">
        <v>27</v>
      </c>
      <c r="G31" s="2">
        <v>45723</v>
      </c>
    </row>
    <row r="32" spans="1:7" x14ac:dyDescent="0.25">
      <c r="A32">
        <v>31</v>
      </c>
      <c r="B32">
        <v>12</v>
      </c>
      <c r="C32">
        <v>18</v>
      </c>
      <c r="D32">
        <v>4</v>
      </c>
      <c r="E32">
        <v>2</v>
      </c>
      <c r="F32">
        <v>60</v>
      </c>
      <c r="G32" s="2">
        <v>45730</v>
      </c>
    </row>
    <row r="33" spans="1:7" x14ac:dyDescent="0.25">
      <c r="A33">
        <v>32</v>
      </c>
      <c r="B33">
        <v>30</v>
      </c>
      <c r="C33">
        <v>8</v>
      </c>
      <c r="D33">
        <v>10</v>
      </c>
      <c r="E33">
        <v>3</v>
      </c>
      <c r="F33">
        <v>60</v>
      </c>
      <c r="G33" s="2">
        <v>45722</v>
      </c>
    </row>
    <row r="34" spans="1:7" x14ac:dyDescent="0.25">
      <c r="A34">
        <v>33</v>
      </c>
      <c r="B34">
        <v>1</v>
      </c>
      <c r="C34">
        <v>6</v>
      </c>
      <c r="D34">
        <v>3</v>
      </c>
      <c r="E34">
        <v>7</v>
      </c>
      <c r="F34">
        <v>52</v>
      </c>
      <c r="G34" s="2">
        <v>45746</v>
      </c>
    </row>
    <row r="35" spans="1:7" x14ac:dyDescent="0.25">
      <c r="A35">
        <v>34</v>
      </c>
      <c r="B35">
        <v>26</v>
      </c>
      <c r="C35">
        <v>8</v>
      </c>
      <c r="D35">
        <v>6</v>
      </c>
      <c r="E35">
        <v>7</v>
      </c>
      <c r="F35">
        <v>22</v>
      </c>
      <c r="G35" s="2">
        <v>45722</v>
      </c>
    </row>
    <row r="36" spans="1:7" x14ac:dyDescent="0.25">
      <c r="A36">
        <v>35</v>
      </c>
      <c r="B36">
        <v>28</v>
      </c>
      <c r="C36">
        <v>2</v>
      </c>
      <c r="D36">
        <v>2</v>
      </c>
      <c r="E36">
        <v>7</v>
      </c>
      <c r="F36">
        <v>59</v>
      </c>
      <c r="G36" s="2">
        <v>45732</v>
      </c>
    </row>
    <row r="37" spans="1:7" x14ac:dyDescent="0.25">
      <c r="A37">
        <v>36</v>
      </c>
      <c r="B37">
        <v>12</v>
      </c>
      <c r="C37">
        <v>10</v>
      </c>
      <c r="D37">
        <v>4</v>
      </c>
      <c r="E37">
        <v>8</v>
      </c>
      <c r="F37">
        <v>57</v>
      </c>
      <c r="G37" s="2">
        <v>45742</v>
      </c>
    </row>
    <row r="38" spans="1:7" x14ac:dyDescent="0.25">
      <c r="A38">
        <v>37</v>
      </c>
      <c r="B38">
        <v>22</v>
      </c>
      <c r="C38">
        <v>7</v>
      </c>
      <c r="D38">
        <v>4</v>
      </c>
      <c r="E38">
        <v>1</v>
      </c>
      <c r="F38">
        <v>30</v>
      </c>
      <c r="G38" s="2">
        <v>45727</v>
      </c>
    </row>
    <row r="39" spans="1:7" x14ac:dyDescent="0.25">
      <c r="A39">
        <v>38</v>
      </c>
      <c r="B39">
        <v>25</v>
      </c>
      <c r="C39">
        <v>9</v>
      </c>
      <c r="D39">
        <v>5</v>
      </c>
      <c r="E39">
        <v>2</v>
      </c>
      <c r="F39">
        <v>27</v>
      </c>
      <c r="G39" s="2">
        <v>45737</v>
      </c>
    </row>
    <row r="40" spans="1:7" x14ac:dyDescent="0.25">
      <c r="A40">
        <v>39</v>
      </c>
      <c r="B40">
        <v>22</v>
      </c>
      <c r="C40">
        <v>18</v>
      </c>
      <c r="D40">
        <v>9</v>
      </c>
      <c r="E40">
        <v>7</v>
      </c>
      <c r="F40">
        <v>26</v>
      </c>
      <c r="G40" s="2">
        <v>45747</v>
      </c>
    </row>
    <row r="41" spans="1:7" x14ac:dyDescent="0.25">
      <c r="A41">
        <v>40</v>
      </c>
      <c r="B41">
        <v>29</v>
      </c>
      <c r="C41">
        <v>9</v>
      </c>
      <c r="D41">
        <v>1</v>
      </c>
      <c r="E41">
        <v>2</v>
      </c>
      <c r="F41">
        <v>16</v>
      </c>
      <c r="G41" s="2">
        <v>45735</v>
      </c>
    </row>
    <row r="42" spans="1:7" x14ac:dyDescent="0.25">
      <c r="A42">
        <v>41</v>
      </c>
      <c r="B42">
        <v>4</v>
      </c>
      <c r="C42">
        <v>20</v>
      </c>
      <c r="D42">
        <v>5</v>
      </c>
      <c r="E42">
        <v>1</v>
      </c>
      <c r="F42">
        <v>32</v>
      </c>
      <c r="G42" s="2">
        <v>45728</v>
      </c>
    </row>
    <row r="43" spans="1:7" x14ac:dyDescent="0.25">
      <c r="A43">
        <v>42</v>
      </c>
      <c r="B43">
        <v>20</v>
      </c>
      <c r="C43">
        <v>17</v>
      </c>
      <c r="D43">
        <v>6</v>
      </c>
      <c r="E43">
        <v>7</v>
      </c>
      <c r="F43">
        <v>12</v>
      </c>
      <c r="G43" s="2">
        <v>45729</v>
      </c>
    </row>
    <row r="44" spans="1:7" x14ac:dyDescent="0.25">
      <c r="A44">
        <v>43</v>
      </c>
      <c r="B44">
        <v>9</v>
      </c>
      <c r="C44">
        <v>2</v>
      </c>
      <c r="D44">
        <v>10</v>
      </c>
      <c r="E44">
        <v>4</v>
      </c>
      <c r="F44">
        <v>50</v>
      </c>
      <c r="G44" s="2">
        <v>45730</v>
      </c>
    </row>
    <row r="45" spans="1:7" x14ac:dyDescent="0.25">
      <c r="A45">
        <v>44</v>
      </c>
      <c r="B45">
        <v>30</v>
      </c>
      <c r="C45">
        <v>18</v>
      </c>
      <c r="D45">
        <v>1</v>
      </c>
      <c r="E45">
        <v>9</v>
      </c>
      <c r="F45">
        <v>48</v>
      </c>
      <c r="G45" s="2">
        <v>45740</v>
      </c>
    </row>
    <row r="46" spans="1:7" x14ac:dyDescent="0.25">
      <c r="A46">
        <v>45</v>
      </c>
      <c r="B46">
        <v>14</v>
      </c>
      <c r="C46">
        <v>3</v>
      </c>
      <c r="D46">
        <v>4</v>
      </c>
      <c r="E46">
        <v>6</v>
      </c>
      <c r="F46">
        <v>47</v>
      </c>
      <c r="G46" s="2">
        <v>45746</v>
      </c>
    </row>
    <row r="47" spans="1:7" x14ac:dyDescent="0.25">
      <c r="A47">
        <v>46</v>
      </c>
      <c r="B47">
        <v>11</v>
      </c>
      <c r="C47">
        <v>4</v>
      </c>
      <c r="D47">
        <v>6</v>
      </c>
      <c r="E47">
        <v>10</v>
      </c>
      <c r="F47">
        <v>51</v>
      </c>
      <c r="G47" s="2">
        <v>45745</v>
      </c>
    </row>
    <row r="48" spans="1:7" x14ac:dyDescent="0.25">
      <c r="A48">
        <v>47</v>
      </c>
      <c r="B48">
        <v>10</v>
      </c>
      <c r="C48">
        <v>14</v>
      </c>
      <c r="D48">
        <v>5</v>
      </c>
      <c r="E48">
        <v>9</v>
      </c>
      <c r="F48">
        <v>25</v>
      </c>
      <c r="G48" s="2">
        <v>45729</v>
      </c>
    </row>
    <row r="49" spans="1:7" x14ac:dyDescent="0.25">
      <c r="A49">
        <v>48</v>
      </c>
      <c r="B49">
        <v>5</v>
      </c>
      <c r="C49">
        <v>7</v>
      </c>
      <c r="D49">
        <v>5</v>
      </c>
      <c r="E49">
        <v>9</v>
      </c>
      <c r="F49">
        <v>31</v>
      </c>
      <c r="G49" s="2">
        <v>45738</v>
      </c>
    </row>
    <row r="50" spans="1:7" x14ac:dyDescent="0.25">
      <c r="A50">
        <v>49</v>
      </c>
      <c r="B50">
        <v>20</v>
      </c>
      <c r="C50">
        <v>19</v>
      </c>
      <c r="D50">
        <v>7</v>
      </c>
      <c r="E50">
        <v>3</v>
      </c>
      <c r="F50">
        <v>24</v>
      </c>
      <c r="G50" s="2">
        <v>45729</v>
      </c>
    </row>
    <row r="51" spans="1:7" x14ac:dyDescent="0.25">
      <c r="A51">
        <v>50</v>
      </c>
      <c r="B51">
        <v>10</v>
      </c>
      <c r="C51">
        <v>10</v>
      </c>
      <c r="D51">
        <v>9</v>
      </c>
      <c r="E51">
        <v>1</v>
      </c>
      <c r="F51">
        <v>18</v>
      </c>
      <c r="G51" s="2">
        <v>45730</v>
      </c>
    </row>
    <row r="52" spans="1:7" x14ac:dyDescent="0.25">
      <c r="A52">
        <v>51</v>
      </c>
      <c r="B52">
        <v>15</v>
      </c>
      <c r="C52">
        <v>15</v>
      </c>
      <c r="D52">
        <v>10</v>
      </c>
      <c r="E52">
        <v>6</v>
      </c>
      <c r="F52">
        <v>33</v>
      </c>
      <c r="G52" s="2">
        <v>45738</v>
      </c>
    </row>
    <row r="53" spans="1:7" x14ac:dyDescent="0.25">
      <c r="A53">
        <v>52</v>
      </c>
      <c r="B53">
        <v>16</v>
      </c>
      <c r="C53">
        <v>6</v>
      </c>
      <c r="D53">
        <v>4</v>
      </c>
      <c r="E53">
        <v>9</v>
      </c>
      <c r="F53">
        <v>47</v>
      </c>
      <c r="G53" s="2">
        <v>45719</v>
      </c>
    </row>
    <row r="54" spans="1:7" x14ac:dyDescent="0.25">
      <c r="A54">
        <v>53</v>
      </c>
      <c r="B54">
        <v>22</v>
      </c>
      <c r="C54">
        <v>20</v>
      </c>
      <c r="D54">
        <v>5</v>
      </c>
      <c r="E54">
        <v>9</v>
      </c>
      <c r="F54">
        <v>26</v>
      </c>
      <c r="G54" s="2">
        <v>45719</v>
      </c>
    </row>
    <row r="55" spans="1:7" x14ac:dyDescent="0.25">
      <c r="A55">
        <v>54</v>
      </c>
      <c r="B55">
        <v>8</v>
      </c>
      <c r="C55">
        <v>7</v>
      </c>
      <c r="D55">
        <v>4</v>
      </c>
      <c r="E55">
        <v>5</v>
      </c>
      <c r="F55">
        <v>14</v>
      </c>
      <c r="G55" s="2">
        <v>45717</v>
      </c>
    </row>
    <row r="56" spans="1:7" x14ac:dyDescent="0.25">
      <c r="A56">
        <v>55</v>
      </c>
      <c r="B56">
        <v>16</v>
      </c>
      <c r="C56">
        <v>20</v>
      </c>
      <c r="D56">
        <v>1</v>
      </c>
      <c r="E56">
        <v>4</v>
      </c>
      <c r="F56">
        <v>59</v>
      </c>
      <c r="G56" s="2">
        <v>45741</v>
      </c>
    </row>
    <row r="57" spans="1:7" x14ac:dyDescent="0.25">
      <c r="A57">
        <v>56</v>
      </c>
      <c r="B57">
        <v>14</v>
      </c>
      <c r="C57">
        <v>19</v>
      </c>
      <c r="D57">
        <v>2</v>
      </c>
      <c r="E57">
        <v>8</v>
      </c>
      <c r="F57">
        <v>17</v>
      </c>
      <c r="G57" s="2">
        <v>45739</v>
      </c>
    </row>
    <row r="58" spans="1:7" x14ac:dyDescent="0.25">
      <c r="A58">
        <v>57</v>
      </c>
      <c r="B58">
        <v>13</v>
      </c>
      <c r="C58">
        <v>8</v>
      </c>
      <c r="D58">
        <v>7</v>
      </c>
      <c r="E58">
        <v>8</v>
      </c>
      <c r="F58">
        <v>14</v>
      </c>
      <c r="G58" s="2">
        <v>45737</v>
      </c>
    </row>
    <row r="59" spans="1:7" x14ac:dyDescent="0.25">
      <c r="A59">
        <v>58</v>
      </c>
      <c r="B59">
        <v>25</v>
      </c>
      <c r="C59">
        <v>14</v>
      </c>
      <c r="D59">
        <v>1</v>
      </c>
      <c r="E59">
        <v>2</v>
      </c>
      <c r="F59">
        <v>19</v>
      </c>
      <c r="G59" s="2">
        <v>45722</v>
      </c>
    </row>
    <row r="60" spans="1:7" x14ac:dyDescent="0.25">
      <c r="A60">
        <v>59</v>
      </c>
      <c r="B60">
        <v>2</v>
      </c>
      <c r="C60">
        <v>18</v>
      </c>
      <c r="D60">
        <v>9</v>
      </c>
      <c r="E60">
        <v>8</v>
      </c>
      <c r="F60">
        <v>20</v>
      </c>
      <c r="G60" s="2">
        <v>45746</v>
      </c>
    </row>
    <row r="61" spans="1:7" x14ac:dyDescent="0.25">
      <c r="A61">
        <v>60</v>
      </c>
      <c r="B61">
        <v>5</v>
      </c>
      <c r="C61">
        <v>15</v>
      </c>
      <c r="D61">
        <v>2</v>
      </c>
      <c r="E61">
        <v>8</v>
      </c>
      <c r="F61">
        <v>47</v>
      </c>
      <c r="G61" s="2">
        <v>45733</v>
      </c>
    </row>
    <row r="62" spans="1:7" x14ac:dyDescent="0.25">
      <c r="A62">
        <v>61</v>
      </c>
      <c r="B62">
        <v>11</v>
      </c>
      <c r="C62">
        <v>15</v>
      </c>
      <c r="D62">
        <v>9</v>
      </c>
      <c r="E62">
        <v>10</v>
      </c>
      <c r="F62">
        <v>44</v>
      </c>
      <c r="G62" s="2">
        <v>45743</v>
      </c>
    </row>
    <row r="63" spans="1:7" x14ac:dyDescent="0.25">
      <c r="A63">
        <v>62</v>
      </c>
      <c r="B63">
        <v>27</v>
      </c>
      <c r="C63">
        <v>18</v>
      </c>
      <c r="D63">
        <v>9</v>
      </c>
      <c r="E63">
        <v>7</v>
      </c>
      <c r="F63">
        <v>33</v>
      </c>
      <c r="G63" s="2">
        <v>45745</v>
      </c>
    </row>
    <row r="64" spans="1:7" x14ac:dyDescent="0.25">
      <c r="A64">
        <v>63</v>
      </c>
      <c r="B64">
        <v>15</v>
      </c>
      <c r="C64">
        <v>9</v>
      </c>
      <c r="D64">
        <v>3</v>
      </c>
      <c r="E64">
        <v>8</v>
      </c>
      <c r="F64">
        <v>53</v>
      </c>
      <c r="G64" s="2">
        <v>45724</v>
      </c>
    </row>
    <row r="65" spans="1:7" x14ac:dyDescent="0.25">
      <c r="A65">
        <v>64</v>
      </c>
      <c r="B65">
        <v>16</v>
      </c>
      <c r="C65">
        <v>8</v>
      </c>
      <c r="D65">
        <v>5</v>
      </c>
      <c r="E65">
        <v>9</v>
      </c>
      <c r="F65">
        <v>22</v>
      </c>
      <c r="G65" s="2">
        <v>45731</v>
      </c>
    </row>
    <row r="66" spans="1:7" x14ac:dyDescent="0.25">
      <c r="A66">
        <v>65</v>
      </c>
      <c r="B66">
        <v>8</v>
      </c>
      <c r="C66">
        <v>9</v>
      </c>
      <c r="D66">
        <v>2</v>
      </c>
      <c r="E66">
        <v>5</v>
      </c>
      <c r="F66">
        <v>26</v>
      </c>
      <c r="G66" s="2">
        <v>45727</v>
      </c>
    </row>
    <row r="67" spans="1:7" x14ac:dyDescent="0.25">
      <c r="A67">
        <v>66</v>
      </c>
      <c r="B67">
        <v>5</v>
      </c>
      <c r="C67">
        <v>5</v>
      </c>
      <c r="D67">
        <v>9</v>
      </c>
      <c r="E67">
        <v>2</v>
      </c>
      <c r="F67">
        <v>19</v>
      </c>
      <c r="G67" s="2">
        <v>45729</v>
      </c>
    </row>
    <row r="68" spans="1:7" x14ac:dyDescent="0.25">
      <c r="A68">
        <v>67</v>
      </c>
      <c r="B68">
        <v>3</v>
      </c>
      <c r="C68">
        <v>14</v>
      </c>
      <c r="D68">
        <v>3</v>
      </c>
      <c r="E68">
        <v>4</v>
      </c>
      <c r="F68">
        <v>31</v>
      </c>
      <c r="G68" s="2">
        <v>45727</v>
      </c>
    </row>
    <row r="69" spans="1:7" x14ac:dyDescent="0.25">
      <c r="A69">
        <v>68</v>
      </c>
      <c r="B69">
        <v>14</v>
      </c>
      <c r="C69">
        <v>2</v>
      </c>
      <c r="D69">
        <v>9</v>
      </c>
      <c r="E69">
        <v>8</v>
      </c>
      <c r="F69">
        <v>18</v>
      </c>
      <c r="G69" s="2">
        <v>45743</v>
      </c>
    </row>
    <row r="70" spans="1:7" x14ac:dyDescent="0.25">
      <c r="A70">
        <v>69</v>
      </c>
      <c r="B70">
        <v>23</v>
      </c>
      <c r="C70">
        <v>1</v>
      </c>
      <c r="D70">
        <v>7</v>
      </c>
      <c r="E70">
        <v>10</v>
      </c>
      <c r="F70">
        <v>59</v>
      </c>
      <c r="G70" s="2">
        <v>45745</v>
      </c>
    </row>
    <row r="71" spans="1:7" x14ac:dyDescent="0.25">
      <c r="A71">
        <v>70</v>
      </c>
      <c r="B71">
        <v>16</v>
      </c>
      <c r="C71">
        <v>1</v>
      </c>
      <c r="D71">
        <v>10</v>
      </c>
      <c r="E71">
        <v>7</v>
      </c>
      <c r="F71">
        <v>27</v>
      </c>
      <c r="G71" s="2">
        <v>45726</v>
      </c>
    </row>
    <row r="72" spans="1:7" x14ac:dyDescent="0.25">
      <c r="A72">
        <v>71</v>
      </c>
      <c r="B72">
        <v>24</v>
      </c>
      <c r="C72">
        <v>18</v>
      </c>
      <c r="D72">
        <v>7</v>
      </c>
      <c r="E72">
        <v>9</v>
      </c>
      <c r="F72">
        <v>56</v>
      </c>
      <c r="G72" s="2">
        <v>45736</v>
      </c>
    </row>
    <row r="73" spans="1:7" x14ac:dyDescent="0.25">
      <c r="A73">
        <v>72</v>
      </c>
      <c r="B73">
        <v>8</v>
      </c>
      <c r="C73">
        <v>9</v>
      </c>
      <c r="D73">
        <v>4</v>
      </c>
      <c r="E73">
        <v>8</v>
      </c>
      <c r="F73">
        <v>32</v>
      </c>
      <c r="G73" s="2">
        <v>45732</v>
      </c>
    </row>
    <row r="74" spans="1:7" x14ac:dyDescent="0.25">
      <c r="A74">
        <v>73</v>
      </c>
      <c r="B74">
        <v>11</v>
      </c>
      <c r="C74">
        <v>13</v>
      </c>
      <c r="D74">
        <v>1</v>
      </c>
      <c r="E74">
        <v>7</v>
      </c>
      <c r="F74">
        <v>51</v>
      </c>
      <c r="G74" s="2">
        <v>45722</v>
      </c>
    </row>
    <row r="75" spans="1:7" x14ac:dyDescent="0.25">
      <c r="A75">
        <v>74</v>
      </c>
      <c r="B75">
        <v>20</v>
      </c>
      <c r="C75">
        <v>18</v>
      </c>
      <c r="D75">
        <v>8</v>
      </c>
      <c r="E75">
        <v>3</v>
      </c>
      <c r="F75">
        <v>6</v>
      </c>
      <c r="G75" s="2">
        <v>45746</v>
      </c>
    </row>
    <row r="76" spans="1:7" x14ac:dyDescent="0.25">
      <c r="A76">
        <v>75</v>
      </c>
      <c r="B76">
        <v>19</v>
      </c>
      <c r="C76">
        <v>1</v>
      </c>
      <c r="D76">
        <v>7</v>
      </c>
      <c r="E76">
        <v>10</v>
      </c>
      <c r="F76">
        <v>10</v>
      </c>
      <c r="G76" s="2">
        <v>45737</v>
      </c>
    </row>
    <row r="77" spans="1:7" x14ac:dyDescent="0.25">
      <c r="A77">
        <v>76</v>
      </c>
      <c r="B77">
        <v>28</v>
      </c>
      <c r="C77">
        <v>15</v>
      </c>
      <c r="D77">
        <v>7</v>
      </c>
      <c r="E77">
        <v>3</v>
      </c>
      <c r="F77">
        <v>16</v>
      </c>
      <c r="G77" s="2">
        <v>45718</v>
      </c>
    </row>
    <row r="78" spans="1:7" x14ac:dyDescent="0.25">
      <c r="A78">
        <v>77</v>
      </c>
      <c r="B78">
        <v>11</v>
      </c>
      <c r="C78">
        <v>7</v>
      </c>
      <c r="D78">
        <v>5</v>
      </c>
      <c r="E78">
        <v>7</v>
      </c>
      <c r="F78">
        <v>34</v>
      </c>
      <c r="G78" s="2">
        <v>45727</v>
      </c>
    </row>
    <row r="79" spans="1:7" x14ac:dyDescent="0.25">
      <c r="A79">
        <v>78</v>
      </c>
      <c r="B79">
        <v>9</v>
      </c>
      <c r="C79">
        <v>14</v>
      </c>
      <c r="D79">
        <v>6</v>
      </c>
      <c r="E79">
        <v>7</v>
      </c>
      <c r="F79">
        <v>21</v>
      </c>
      <c r="G79" s="2">
        <v>45743</v>
      </c>
    </row>
    <row r="80" spans="1:7" x14ac:dyDescent="0.25">
      <c r="A80">
        <v>79</v>
      </c>
      <c r="B80">
        <v>1</v>
      </c>
      <c r="C80">
        <v>18</v>
      </c>
      <c r="D80">
        <v>2</v>
      </c>
      <c r="E80">
        <v>8</v>
      </c>
      <c r="F80">
        <v>8</v>
      </c>
      <c r="G80" s="2">
        <v>45747</v>
      </c>
    </row>
    <row r="81" spans="1:7" x14ac:dyDescent="0.25">
      <c r="A81">
        <v>80</v>
      </c>
      <c r="B81">
        <v>21</v>
      </c>
      <c r="C81">
        <v>3</v>
      </c>
      <c r="D81">
        <v>6</v>
      </c>
      <c r="E81">
        <v>4</v>
      </c>
      <c r="F81">
        <v>54</v>
      </c>
      <c r="G81" s="2">
        <v>45747</v>
      </c>
    </row>
    <row r="82" spans="1:7" x14ac:dyDescent="0.25">
      <c r="A82">
        <v>81</v>
      </c>
      <c r="B82">
        <v>7</v>
      </c>
      <c r="C82">
        <v>1</v>
      </c>
      <c r="D82">
        <v>1</v>
      </c>
      <c r="E82">
        <v>4</v>
      </c>
      <c r="F82">
        <v>44</v>
      </c>
      <c r="G82" s="2">
        <v>45721</v>
      </c>
    </row>
    <row r="83" spans="1:7" x14ac:dyDescent="0.25">
      <c r="A83">
        <v>82</v>
      </c>
      <c r="B83">
        <v>16</v>
      </c>
      <c r="C83">
        <v>4</v>
      </c>
      <c r="D83">
        <v>4</v>
      </c>
      <c r="E83">
        <v>3</v>
      </c>
      <c r="F83">
        <v>41</v>
      </c>
      <c r="G83" s="2">
        <v>45747</v>
      </c>
    </row>
    <row r="84" spans="1:7" x14ac:dyDescent="0.25">
      <c r="A84">
        <v>83</v>
      </c>
      <c r="B84">
        <v>23</v>
      </c>
      <c r="C84">
        <v>9</v>
      </c>
      <c r="D84">
        <v>4</v>
      </c>
      <c r="E84">
        <v>8</v>
      </c>
      <c r="F84">
        <v>54</v>
      </c>
      <c r="G84" s="2">
        <v>45728</v>
      </c>
    </row>
    <row r="85" spans="1:7" x14ac:dyDescent="0.25">
      <c r="A85">
        <v>84</v>
      </c>
      <c r="B85">
        <v>20</v>
      </c>
      <c r="C85">
        <v>4</v>
      </c>
      <c r="D85">
        <v>3</v>
      </c>
      <c r="E85">
        <v>10</v>
      </c>
      <c r="F85">
        <v>54</v>
      </c>
      <c r="G85" s="2">
        <v>45743</v>
      </c>
    </row>
    <row r="86" spans="1:7" x14ac:dyDescent="0.25">
      <c r="A86">
        <v>85</v>
      </c>
      <c r="B86">
        <v>4</v>
      </c>
      <c r="C86">
        <v>19</v>
      </c>
      <c r="D86">
        <v>3</v>
      </c>
      <c r="E86">
        <v>5</v>
      </c>
      <c r="F86">
        <v>6</v>
      </c>
      <c r="G86" s="2">
        <v>45746</v>
      </c>
    </row>
    <row r="87" spans="1:7" x14ac:dyDescent="0.25">
      <c r="A87">
        <v>86</v>
      </c>
      <c r="B87">
        <v>22</v>
      </c>
      <c r="C87">
        <v>13</v>
      </c>
      <c r="D87">
        <v>5</v>
      </c>
      <c r="E87">
        <v>10</v>
      </c>
      <c r="F87">
        <v>30</v>
      </c>
      <c r="G87" s="2">
        <v>45747</v>
      </c>
    </row>
    <row r="88" spans="1:7" x14ac:dyDescent="0.25">
      <c r="A88">
        <v>87</v>
      </c>
      <c r="B88">
        <v>19</v>
      </c>
      <c r="C88">
        <v>8</v>
      </c>
      <c r="D88">
        <v>4</v>
      </c>
      <c r="E88">
        <v>2</v>
      </c>
      <c r="F88">
        <v>11</v>
      </c>
      <c r="G88" s="2">
        <v>45739</v>
      </c>
    </row>
    <row r="89" spans="1:7" x14ac:dyDescent="0.25">
      <c r="A89">
        <v>88</v>
      </c>
      <c r="B89">
        <v>26</v>
      </c>
      <c r="C89">
        <v>4</v>
      </c>
      <c r="D89">
        <v>5</v>
      </c>
      <c r="E89">
        <v>10</v>
      </c>
      <c r="F89">
        <v>55</v>
      </c>
      <c r="G89" s="2">
        <v>45735</v>
      </c>
    </row>
    <row r="90" spans="1:7" x14ac:dyDescent="0.25">
      <c r="A90">
        <v>89</v>
      </c>
      <c r="B90">
        <v>18</v>
      </c>
      <c r="C90">
        <v>14</v>
      </c>
      <c r="D90">
        <v>1</v>
      </c>
      <c r="E90">
        <v>6</v>
      </c>
      <c r="F90">
        <v>47</v>
      </c>
      <c r="G90" s="2">
        <v>45728</v>
      </c>
    </row>
    <row r="91" spans="1:7" x14ac:dyDescent="0.25">
      <c r="A91">
        <v>90</v>
      </c>
      <c r="B91">
        <v>21</v>
      </c>
      <c r="C91">
        <v>11</v>
      </c>
      <c r="D91">
        <v>2</v>
      </c>
      <c r="E91">
        <v>9</v>
      </c>
      <c r="F91">
        <v>5</v>
      </c>
      <c r="G91" s="2">
        <v>45744</v>
      </c>
    </row>
    <row r="92" spans="1:7" x14ac:dyDescent="0.25">
      <c r="A92">
        <v>91</v>
      </c>
      <c r="B92">
        <v>4</v>
      </c>
      <c r="C92">
        <v>14</v>
      </c>
      <c r="D92">
        <v>7</v>
      </c>
      <c r="E92">
        <v>8</v>
      </c>
      <c r="F92">
        <v>28</v>
      </c>
      <c r="G92" s="2">
        <v>45737</v>
      </c>
    </row>
    <row r="93" spans="1:7" x14ac:dyDescent="0.25">
      <c r="A93">
        <v>92</v>
      </c>
      <c r="B93">
        <v>14</v>
      </c>
      <c r="C93">
        <v>6</v>
      </c>
      <c r="D93">
        <v>8</v>
      </c>
      <c r="E93">
        <v>3</v>
      </c>
      <c r="F93">
        <v>51</v>
      </c>
      <c r="G93" s="2">
        <v>45733</v>
      </c>
    </row>
    <row r="94" spans="1:7" x14ac:dyDescent="0.25">
      <c r="A94">
        <v>93</v>
      </c>
      <c r="B94">
        <v>26</v>
      </c>
      <c r="C94">
        <v>18</v>
      </c>
      <c r="D94">
        <v>5</v>
      </c>
      <c r="E94">
        <v>10</v>
      </c>
      <c r="F94">
        <v>54</v>
      </c>
      <c r="G94" s="2">
        <v>45732</v>
      </c>
    </row>
    <row r="95" spans="1:7" x14ac:dyDescent="0.25">
      <c r="A95">
        <v>94</v>
      </c>
      <c r="B95">
        <v>27</v>
      </c>
      <c r="C95">
        <v>19</v>
      </c>
      <c r="D95">
        <v>8</v>
      </c>
      <c r="E95">
        <v>7</v>
      </c>
      <c r="F95">
        <v>22</v>
      </c>
      <c r="G95" s="2">
        <v>45727</v>
      </c>
    </row>
    <row r="96" spans="1:7" x14ac:dyDescent="0.25">
      <c r="A96">
        <v>95</v>
      </c>
      <c r="B96">
        <v>9</v>
      </c>
      <c r="C96">
        <v>15</v>
      </c>
      <c r="D96">
        <v>4</v>
      </c>
      <c r="E96">
        <v>2</v>
      </c>
      <c r="F96">
        <v>20</v>
      </c>
      <c r="G96" s="2">
        <v>45741</v>
      </c>
    </row>
    <row r="97" spans="1:7" x14ac:dyDescent="0.25">
      <c r="A97">
        <v>96</v>
      </c>
      <c r="B97">
        <v>20</v>
      </c>
      <c r="C97">
        <v>13</v>
      </c>
      <c r="D97">
        <v>8</v>
      </c>
      <c r="E97">
        <v>10</v>
      </c>
      <c r="F97">
        <v>26</v>
      </c>
      <c r="G97" s="2">
        <v>45717</v>
      </c>
    </row>
    <row r="98" spans="1:7" x14ac:dyDescent="0.25">
      <c r="A98">
        <v>97</v>
      </c>
      <c r="B98">
        <v>6</v>
      </c>
      <c r="C98">
        <v>16</v>
      </c>
      <c r="D98">
        <v>8</v>
      </c>
      <c r="E98">
        <v>6</v>
      </c>
      <c r="F98">
        <v>18</v>
      </c>
      <c r="G98" s="2">
        <v>45728</v>
      </c>
    </row>
    <row r="99" spans="1:7" x14ac:dyDescent="0.25">
      <c r="A99">
        <v>98</v>
      </c>
      <c r="B99">
        <v>9</v>
      </c>
      <c r="C99">
        <v>20</v>
      </c>
      <c r="D99">
        <v>5</v>
      </c>
      <c r="E99">
        <v>6</v>
      </c>
      <c r="F99">
        <v>49</v>
      </c>
      <c r="G99" s="2">
        <v>45745</v>
      </c>
    </row>
    <row r="100" spans="1:7" x14ac:dyDescent="0.25">
      <c r="A100">
        <v>99</v>
      </c>
      <c r="B100">
        <v>1</v>
      </c>
      <c r="C100">
        <v>17</v>
      </c>
      <c r="D100">
        <v>5</v>
      </c>
      <c r="E100">
        <v>9</v>
      </c>
      <c r="F100">
        <v>17</v>
      </c>
      <c r="G100" s="2">
        <v>45719</v>
      </c>
    </row>
    <row r="101" spans="1:7" x14ac:dyDescent="0.25">
      <c r="A101">
        <v>100</v>
      </c>
      <c r="B101">
        <v>16</v>
      </c>
      <c r="C101">
        <v>18</v>
      </c>
      <c r="D101">
        <v>4</v>
      </c>
      <c r="E101">
        <v>7</v>
      </c>
      <c r="F101">
        <v>53</v>
      </c>
      <c r="G101" s="2">
        <v>45724</v>
      </c>
    </row>
    <row r="102" spans="1:7" x14ac:dyDescent="0.25">
      <c r="A102">
        <v>101</v>
      </c>
      <c r="B102">
        <v>3</v>
      </c>
      <c r="C102">
        <v>10</v>
      </c>
      <c r="D102">
        <v>8</v>
      </c>
      <c r="E102">
        <v>1</v>
      </c>
      <c r="F102">
        <v>19</v>
      </c>
      <c r="G102" s="2">
        <v>45729</v>
      </c>
    </row>
    <row r="103" spans="1:7" x14ac:dyDescent="0.25">
      <c r="A103">
        <v>102</v>
      </c>
      <c r="B103">
        <v>22</v>
      </c>
      <c r="C103">
        <v>19</v>
      </c>
      <c r="D103">
        <v>4</v>
      </c>
      <c r="E103">
        <v>5</v>
      </c>
      <c r="F103">
        <v>28</v>
      </c>
      <c r="G103" s="2">
        <v>45732</v>
      </c>
    </row>
    <row r="104" spans="1:7" x14ac:dyDescent="0.25">
      <c r="A104">
        <v>103</v>
      </c>
      <c r="B104">
        <v>14</v>
      </c>
      <c r="C104">
        <v>18</v>
      </c>
      <c r="D104">
        <v>9</v>
      </c>
      <c r="E104">
        <v>6</v>
      </c>
      <c r="F104">
        <v>26</v>
      </c>
      <c r="G104" s="2">
        <v>45728</v>
      </c>
    </row>
    <row r="105" spans="1:7" x14ac:dyDescent="0.25">
      <c r="A105">
        <v>104</v>
      </c>
      <c r="B105">
        <v>10</v>
      </c>
      <c r="C105">
        <v>9</v>
      </c>
      <c r="D105">
        <v>8</v>
      </c>
      <c r="E105">
        <v>5</v>
      </c>
      <c r="F105">
        <v>19</v>
      </c>
      <c r="G105" s="2">
        <v>45720</v>
      </c>
    </row>
    <row r="106" spans="1:7" x14ac:dyDescent="0.25">
      <c r="A106">
        <v>105</v>
      </c>
      <c r="B106">
        <v>4</v>
      </c>
      <c r="C106">
        <v>18</v>
      </c>
      <c r="D106">
        <v>4</v>
      </c>
      <c r="E106">
        <v>6</v>
      </c>
      <c r="F106">
        <v>53</v>
      </c>
      <c r="G106" s="2">
        <v>45739</v>
      </c>
    </row>
    <row r="107" spans="1:7" x14ac:dyDescent="0.25">
      <c r="A107">
        <v>106</v>
      </c>
      <c r="B107">
        <v>7</v>
      </c>
      <c r="C107">
        <v>16</v>
      </c>
      <c r="D107">
        <v>3</v>
      </c>
      <c r="E107">
        <v>4</v>
      </c>
      <c r="F107">
        <v>22</v>
      </c>
      <c r="G107" s="2">
        <v>45740</v>
      </c>
    </row>
    <row r="108" spans="1:7" x14ac:dyDescent="0.25">
      <c r="A108">
        <v>107</v>
      </c>
      <c r="B108">
        <v>20</v>
      </c>
      <c r="C108">
        <v>10</v>
      </c>
      <c r="D108">
        <v>10</v>
      </c>
      <c r="E108">
        <v>9</v>
      </c>
      <c r="F108">
        <v>11</v>
      </c>
      <c r="G108" s="2">
        <v>45743</v>
      </c>
    </row>
    <row r="109" spans="1:7" x14ac:dyDescent="0.25">
      <c r="A109">
        <v>108</v>
      </c>
      <c r="B109">
        <v>8</v>
      </c>
      <c r="C109">
        <v>12</v>
      </c>
      <c r="D109">
        <v>4</v>
      </c>
      <c r="E109">
        <v>5</v>
      </c>
      <c r="F109">
        <v>16</v>
      </c>
      <c r="G109" s="2">
        <v>45726</v>
      </c>
    </row>
    <row r="110" spans="1:7" x14ac:dyDescent="0.25">
      <c r="A110">
        <v>109</v>
      </c>
      <c r="B110">
        <v>5</v>
      </c>
      <c r="C110">
        <v>9</v>
      </c>
      <c r="D110">
        <v>1</v>
      </c>
      <c r="E110">
        <v>9</v>
      </c>
      <c r="F110">
        <v>7</v>
      </c>
      <c r="G110" s="2">
        <v>45718</v>
      </c>
    </row>
    <row r="111" spans="1:7" x14ac:dyDescent="0.25">
      <c r="A111">
        <v>110</v>
      </c>
      <c r="B111">
        <v>23</v>
      </c>
      <c r="C111">
        <v>5</v>
      </c>
      <c r="D111">
        <v>9</v>
      </c>
      <c r="E111">
        <v>5</v>
      </c>
      <c r="F111">
        <v>45</v>
      </c>
      <c r="G111" s="2">
        <v>45744</v>
      </c>
    </row>
    <row r="112" spans="1:7" x14ac:dyDescent="0.25">
      <c r="A112">
        <v>111</v>
      </c>
      <c r="B112">
        <v>28</v>
      </c>
      <c r="C112">
        <v>1</v>
      </c>
      <c r="D112">
        <v>8</v>
      </c>
      <c r="E112">
        <v>2</v>
      </c>
      <c r="F112">
        <v>41</v>
      </c>
      <c r="G112" s="2">
        <v>45726</v>
      </c>
    </row>
    <row r="113" spans="1:7" x14ac:dyDescent="0.25">
      <c r="A113">
        <v>112</v>
      </c>
      <c r="B113">
        <v>6</v>
      </c>
      <c r="C113">
        <v>2</v>
      </c>
      <c r="D113">
        <v>8</v>
      </c>
      <c r="E113">
        <v>6</v>
      </c>
      <c r="F113">
        <v>21</v>
      </c>
      <c r="G113" s="2">
        <v>45747</v>
      </c>
    </row>
    <row r="114" spans="1:7" x14ac:dyDescent="0.25">
      <c r="A114">
        <v>113</v>
      </c>
      <c r="B114">
        <v>27</v>
      </c>
      <c r="C114">
        <v>3</v>
      </c>
      <c r="D114">
        <v>8</v>
      </c>
      <c r="E114">
        <v>2</v>
      </c>
      <c r="F114">
        <v>30</v>
      </c>
      <c r="G114" s="2">
        <v>45732</v>
      </c>
    </row>
    <row r="115" spans="1:7" x14ac:dyDescent="0.25">
      <c r="A115">
        <v>114</v>
      </c>
      <c r="B115">
        <v>21</v>
      </c>
      <c r="C115">
        <v>2</v>
      </c>
      <c r="D115">
        <v>2</v>
      </c>
      <c r="E115">
        <v>10</v>
      </c>
      <c r="F115">
        <v>14</v>
      </c>
      <c r="G115" s="2">
        <v>45721</v>
      </c>
    </row>
    <row r="116" spans="1:7" x14ac:dyDescent="0.25">
      <c r="A116">
        <v>115</v>
      </c>
      <c r="B116">
        <v>3</v>
      </c>
      <c r="C116">
        <v>8</v>
      </c>
      <c r="D116">
        <v>10</v>
      </c>
      <c r="E116">
        <v>5</v>
      </c>
      <c r="F116">
        <v>12</v>
      </c>
      <c r="G116" s="2">
        <v>45734</v>
      </c>
    </row>
    <row r="117" spans="1:7" x14ac:dyDescent="0.25">
      <c r="A117">
        <v>116</v>
      </c>
      <c r="B117">
        <v>20</v>
      </c>
      <c r="C117">
        <v>20</v>
      </c>
      <c r="D117">
        <v>7</v>
      </c>
      <c r="E117">
        <v>10</v>
      </c>
      <c r="F117">
        <v>19</v>
      </c>
      <c r="G117" s="2">
        <v>45741</v>
      </c>
    </row>
    <row r="118" spans="1:7" x14ac:dyDescent="0.25">
      <c r="A118">
        <v>117</v>
      </c>
      <c r="B118">
        <v>15</v>
      </c>
      <c r="C118">
        <v>15</v>
      </c>
      <c r="D118">
        <v>9</v>
      </c>
      <c r="E118">
        <v>7</v>
      </c>
      <c r="F118">
        <v>24</v>
      </c>
      <c r="G118" s="2">
        <v>45744</v>
      </c>
    </row>
    <row r="119" spans="1:7" x14ac:dyDescent="0.25">
      <c r="A119">
        <v>118</v>
      </c>
      <c r="B119">
        <v>10</v>
      </c>
      <c r="C119">
        <v>19</v>
      </c>
      <c r="D119">
        <v>10</v>
      </c>
      <c r="E119">
        <v>7</v>
      </c>
      <c r="F119">
        <v>44</v>
      </c>
      <c r="G119" s="2">
        <v>45718</v>
      </c>
    </row>
    <row r="120" spans="1:7" x14ac:dyDescent="0.25">
      <c r="A120">
        <v>119</v>
      </c>
      <c r="B120">
        <v>25</v>
      </c>
      <c r="C120">
        <v>7</v>
      </c>
      <c r="D120">
        <v>10</v>
      </c>
      <c r="E120">
        <v>2</v>
      </c>
      <c r="F120">
        <v>45</v>
      </c>
      <c r="G120" s="2">
        <v>45723</v>
      </c>
    </row>
    <row r="121" spans="1:7" x14ac:dyDescent="0.25">
      <c r="A121">
        <v>120</v>
      </c>
      <c r="B121">
        <v>6</v>
      </c>
      <c r="C121">
        <v>8</v>
      </c>
      <c r="D121">
        <v>5</v>
      </c>
      <c r="E121">
        <v>2</v>
      </c>
      <c r="F121">
        <v>16</v>
      </c>
      <c r="G121" s="2">
        <v>45734</v>
      </c>
    </row>
    <row r="122" spans="1:7" x14ac:dyDescent="0.25">
      <c r="A122">
        <v>121</v>
      </c>
      <c r="B122">
        <v>1</v>
      </c>
      <c r="C122">
        <v>14</v>
      </c>
      <c r="D122">
        <v>2</v>
      </c>
      <c r="E122">
        <v>3</v>
      </c>
      <c r="F122">
        <v>33</v>
      </c>
      <c r="G122" s="2">
        <v>45739</v>
      </c>
    </row>
    <row r="123" spans="1:7" x14ac:dyDescent="0.25">
      <c r="A123">
        <v>122</v>
      </c>
      <c r="B123">
        <v>10</v>
      </c>
      <c r="C123">
        <v>2</v>
      </c>
      <c r="D123">
        <v>10</v>
      </c>
      <c r="E123">
        <v>8</v>
      </c>
      <c r="F123">
        <v>19</v>
      </c>
      <c r="G123" s="2">
        <v>45726</v>
      </c>
    </row>
    <row r="124" spans="1:7" x14ac:dyDescent="0.25">
      <c r="A124">
        <v>123</v>
      </c>
      <c r="B124">
        <v>3</v>
      </c>
      <c r="C124">
        <v>8</v>
      </c>
      <c r="D124">
        <v>5</v>
      </c>
      <c r="E124">
        <v>8</v>
      </c>
      <c r="F124">
        <v>21</v>
      </c>
      <c r="G124" s="2">
        <v>45742</v>
      </c>
    </row>
    <row r="125" spans="1:7" x14ac:dyDescent="0.25">
      <c r="A125">
        <v>124</v>
      </c>
      <c r="B125">
        <v>14</v>
      </c>
      <c r="C125">
        <v>4</v>
      </c>
      <c r="D125">
        <v>10</v>
      </c>
      <c r="E125">
        <v>4</v>
      </c>
      <c r="F125">
        <v>39</v>
      </c>
      <c r="G125" s="2">
        <v>45724</v>
      </c>
    </row>
    <row r="126" spans="1:7" x14ac:dyDescent="0.25">
      <c r="A126">
        <v>125</v>
      </c>
      <c r="B126">
        <v>27</v>
      </c>
      <c r="C126">
        <v>5</v>
      </c>
      <c r="D126">
        <v>3</v>
      </c>
      <c r="E126">
        <v>5</v>
      </c>
      <c r="F126">
        <v>9</v>
      </c>
      <c r="G126" s="2">
        <v>45718</v>
      </c>
    </row>
    <row r="127" spans="1:7" x14ac:dyDescent="0.25">
      <c r="A127">
        <v>126</v>
      </c>
      <c r="B127">
        <v>20</v>
      </c>
      <c r="C127">
        <v>19</v>
      </c>
      <c r="D127">
        <v>3</v>
      </c>
      <c r="E127">
        <v>5</v>
      </c>
      <c r="F127">
        <v>23</v>
      </c>
      <c r="G127" s="2">
        <v>45731</v>
      </c>
    </row>
    <row r="128" spans="1:7" x14ac:dyDescent="0.25">
      <c r="A128">
        <v>127</v>
      </c>
      <c r="B128">
        <v>23</v>
      </c>
      <c r="C128">
        <v>10</v>
      </c>
      <c r="D128">
        <v>2</v>
      </c>
      <c r="E128">
        <v>8</v>
      </c>
      <c r="F128">
        <v>49</v>
      </c>
      <c r="G128" s="2">
        <v>45729</v>
      </c>
    </row>
    <row r="129" spans="1:7" x14ac:dyDescent="0.25">
      <c r="A129">
        <v>128</v>
      </c>
      <c r="B129">
        <v>18</v>
      </c>
      <c r="C129">
        <v>16</v>
      </c>
      <c r="D129">
        <v>5</v>
      </c>
      <c r="E129">
        <v>9</v>
      </c>
      <c r="F129">
        <v>33</v>
      </c>
      <c r="G129" s="2">
        <v>45719</v>
      </c>
    </row>
    <row r="130" spans="1:7" x14ac:dyDescent="0.25">
      <c r="A130">
        <v>129</v>
      </c>
      <c r="B130">
        <v>29</v>
      </c>
      <c r="C130">
        <v>14</v>
      </c>
      <c r="D130">
        <v>10</v>
      </c>
      <c r="E130">
        <v>1</v>
      </c>
      <c r="F130">
        <v>52</v>
      </c>
      <c r="G130" s="2">
        <v>45727</v>
      </c>
    </row>
    <row r="131" spans="1:7" x14ac:dyDescent="0.25">
      <c r="A131">
        <v>130</v>
      </c>
      <c r="B131">
        <v>1</v>
      </c>
      <c r="C131">
        <v>3</v>
      </c>
      <c r="D131">
        <v>10</v>
      </c>
      <c r="E131">
        <v>5</v>
      </c>
      <c r="F131">
        <v>19</v>
      </c>
      <c r="G131" s="2">
        <v>45747</v>
      </c>
    </row>
    <row r="132" spans="1:7" x14ac:dyDescent="0.25">
      <c r="A132">
        <v>131</v>
      </c>
      <c r="B132">
        <v>25</v>
      </c>
      <c r="C132">
        <v>9</v>
      </c>
      <c r="D132">
        <v>10</v>
      </c>
      <c r="E132">
        <v>1</v>
      </c>
      <c r="F132">
        <v>41</v>
      </c>
      <c r="G132" s="2">
        <v>45718</v>
      </c>
    </row>
    <row r="133" spans="1:7" x14ac:dyDescent="0.25">
      <c r="A133">
        <v>132</v>
      </c>
      <c r="B133">
        <v>17</v>
      </c>
      <c r="C133">
        <v>15</v>
      </c>
      <c r="D133">
        <v>3</v>
      </c>
      <c r="E133">
        <v>8</v>
      </c>
      <c r="F133">
        <v>22</v>
      </c>
      <c r="G133" s="2">
        <v>45722</v>
      </c>
    </row>
    <row r="134" spans="1:7" x14ac:dyDescent="0.25">
      <c r="A134">
        <v>133</v>
      </c>
      <c r="B134">
        <v>21</v>
      </c>
      <c r="C134">
        <v>16</v>
      </c>
      <c r="D134">
        <v>10</v>
      </c>
      <c r="E134">
        <v>7</v>
      </c>
      <c r="F134">
        <v>10</v>
      </c>
      <c r="G134" s="2">
        <v>45732</v>
      </c>
    </row>
    <row r="135" spans="1:7" x14ac:dyDescent="0.25">
      <c r="A135">
        <v>134</v>
      </c>
      <c r="B135">
        <v>11</v>
      </c>
      <c r="C135">
        <v>11</v>
      </c>
      <c r="D135">
        <v>6</v>
      </c>
      <c r="E135">
        <v>7</v>
      </c>
      <c r="F135">
        <v>47</v>
      </c>
      <c r="G135" s="2">
        <v>45720</v>
      </c>
    </row>
    <row r="136" spans="1:7" x14ac:dyDescent="0.25">
      <c r="A136">
        <v>135</v>
      </c>
      <c r="B136">
        <v>14</v>
      </c>
      <c r="C136">
        <v>16</v>
      </c>
      <c r="D136">
        <v>3</v>
      </c>
      <c r="E136">
        <v>6</v>
      </c>
      <c r="F136">
        <v>23</v>
      </c>
      <c r="G136" s="2">
        <v>45738</v>
      </c>
    </row>
    <row r="137" spans="1:7" x14ac:dyDescent="0.25">
      <c r="A137">
        <v>136</v>
      </c>
      <c r="B137">
        <v>2</v>
      </c>
      <c r="C137">
        <v>15</v>
      </c>
      <c r="D137">
        <v>7</v>
      </c>
      <c r="E137">
        <v>9</v>
      </c>
      <c r="F137">
        <v>10</v>
      </c>
      <c r="G137" s="2">
        <v>45727</v>
      </c>
    </row>
    <row r="138" spans="1:7" x14ac:dyDescent="0.25">
      <c r="A138">
        <v>137</v>
      </c>
      <c r="B138">
        <v>4</v>
      </c>
      <c r="C138">
        <v>13</v>
      </c>
      <c r="D138">
        <v>5</v>
      </c>
      <c r="E138">
        <v>6</v>
      </c>
      <c r="F138">
        <v>60</v>
      </c>
      <c r="G138" s="2">
        <v>45733</v>
      </c>
    </row>
    <row r="139" spans="1:7" x14ac:dyDescent="0.25">
      <c r="A139">
        <v>138</v>
      </c>
      <c r="B139">
        <v>15</v>
      </c>
      <c r="C139">
        <v>14</v>
      </c>
      <c r="D139">
        <v>1</v>
      </c>
      <c r="E139">
        <v>9</v>
      </c>
      <c r="F139">
        <v>8</v>
      </c>
      <c r="G139" s="2">
        <v>45723</v>
      </c>
    </row>
    <row r="140" spans="1:7" x14ac:dyDescent="0.25">
      <c r="A140">
        <v>139</v>
      </c>
      <c r="B140">
        <v>20</v>
      </c>
      <c r="C140">
        <v>16</v>
      </c>
      <c r="D140">
        <v>9</v>
      </c>
      <c r="E140">
        <v>6</v>
      </c>
      <c r="F140">
        <v>45</v>
      </c>
      <c r="G140" s="2">
        <v>45731</v>
      </c>
    </row>
    <row r="141" spans="1:7" x14ac:dyDescent="0.25">
      <c r="A141">
        <v>140</v>
      </c>
      <c r="B141">
        <v>9</v>
      </c>
      <c r="C141">
        <v>18</v>
      </c>
      <c r="D141">
        <v>1</v>
      </c>
      <c r="E141">
        <v>4</v>
      </c>
      <c r="F141">
        <v>13</v>
      </c>
      <c r="G141" s="2">
        <v>45746</v>
      </c>
    </row>
    <row r="142" spans="1:7" x14ac:dyDescent="0.25">
      <c r="A142">
        <v>141</v>
      </c>
      <c r="B142">
        <v>29</v>
      </c>
      <c r="C142">
        <v>16</v>
      </c>
      <c r="D142">
        <v>5</v>
      </c>
      <c r="E142">
        <v>8</v>
      </c>
      <c r="F142">
        <v>12</v>
      </c>
      <c r="G142" s="2">
        <v>45717</v>
      </c>
    </row>
    <row r="143" spans="1:7" x14ac:dyDescent="0.25">
      <c r="A143">
        <v>142</v>
      </c>
      <c r="B143">
        <v>23</v>
      </c>
      <c r="C143">
        <v>6</v>
      </c>
      <c r="D143">
        <v>10</v>
      </c>
      <c r="E143">
        <v>4</v>
      </c>
      <c r="F143">
        <v>24</v>
      </c>
      <c r="G143" s="2">
        <v>45734</v>
      </c>
    </row>
    <row r="144" spans="1:7" x14ac:dyDescent="0.25">
      <c r="A144">
        <v>143</v>
      </c>
      <c r="B144">
        <v>14</v>
      </c>
      <c r="C144">
        <v>3</v>
      </c>
      <c r="D144">
        <v>1</v>
      </c>
      <c r="E144">
        <v>9</v>
      </c>
      <c r="F144">
        <v>19</v>
      </c>
      <c r="G144" s="2">
        <v>45743</v>
      </c>
    </row>
    <row r="145" spans="1:7" x14ac:dyDescent="0.25">
      <c r="A145">
        <v>144</v>
      </c>
      <c r="B145">
        <v>4</v>
      </c>
      <c r="C145">
        <v>5</v>
      </c>
      <c r="D145">
        <v>2</v>
      </c>
      <c r="E145">
        <v>8</v>
      </c>
      <c r="F145">
        <v>36</v>
      </c>
      <c r="G145" s="2">
        <v>45746</v>
      </c>
    </row>
    <row r="146" spans="1:7" x14ac:dyDescent="0.25">
      <c r="A146">
        <v>145</v>
      </c>
      <c r="B146">
        <v>23</v>
      </c>
      <c r="C146">
        <v>9</v>
      </c>
      <c r="D146">
        <v>5</v>
      </c>
      <c r="E146">
        <v>9</v>
      </c>
      <c r="F146">
        <v>31</v>
      </c>
      <c r="G146" s="2">
        <v>45743</v>
      </c>
    </row>
    <row r="147" spans="1:7" x14ac:dyDescent="0.25">
      <c r="A147">
        <v>146</v>
      </c>
      <c r="B147">
        <v>15</v>
      </c>
      <c r="C147">
        <v>18</v>
      </c>
      <c r="D147">
        <v>8</v>
      </c>
      <c r="E147">
        <v>4</v>
      </c>
      <c r="F147">
        <v>14</v>
      </c>
      <c r="G147" s="2">
        <v>45729</v>
      </c>
    </row>
    <row r="148" spans="1:7" x14ac:dyDescent="0.25">
      <c r="A148">
        <v>147</v>
      </c>
      <c r="B148">
        <v>17</v>
      </c>
      <c r="C148">
        <v>5</v>
      </c>
      <c r="D148">
        <v>4</v>
      </c>
      <c r="E148">
        <v>10</v>
      </c>
      <c r="F148">
        <v>60</v>
      </c>
      <c r="G148" s="2">
        <v>45719</v>
      </c>
    </row>
    <row r="149" spans="1:7" x14ac:dyDescent="0.25">
      <c r="A149">
        <v>148</v>
      </c>
      <c r="B149">
        <v>11</v>
      </c>
      <c r="C149">
        <v>17</v>
      </c>
      <c r="D149">
        <v>5</v>
      </c>
      <c r="E149">
        <v>7</v>
      </c>
      <c r="F149">
        <v>22</v>
      </c>
      <c r="G149" s="2">
        <v>45743</v>
      </c>
    </row>
    <row r="150" spans="1:7" x14ac:dyDescent="0.25">
      <c r="A150">
        <v>149</v>
      </c>
      <c r="B150">
        <v>24</v>
      </c>
      <c r="C150">
        <v>10</v>
      </c>
      <c r="D150">
        <v>1</v>
      </c>
      <c r="E150">
        <v>5</v>
      </c>
      <c r="F150">
        <v>58</v>
      </c>
      <c r="G150" s="2">
        <v>45735</v>
      </c>
    </row>
    <row r="151" spans="1:7" x14ac:dyDescent="0.25">
      <c r="A151">
        <v>150</v>
      </c>
      <c r="B151">
        <v>28</v>
      </c>
      <c r="C151">
        <v>5</v>
      </c>
      <c r="D151">
        <v>10</v>
      </c>
      <c r="E151">
        <v>8</v>
      </c>
      <c r="F151">
        <v>33</v>
      </c>
      <c r="G151" s="2">
        <v>45734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AA26-3D74-48B9-915F-BA2A603CDDCB}">
  <dimension ref="A1:D151"/>
  <sheetViews>
    <sheetView workbookViewId="0"/>
  </sheetViews>
  <sheetFormatPr defaultRowHeight="15" x14ac:dyDescent="0.25"/>
  <cols>
    <col min="1" max="1" width="13.7109375" bestFit="1" customWidth="1"/>
    <col min="2" max="2" width="9.42578125" bestFit="1" customWidth="1"/>
    <col min="3" max="3" width="14.5703125" bestFit="1" customWidth="1"/>
    <col min="4" max="4" width="16.1406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>
        <v>1</v>
      </c>
      <c r="B2">
        <v>1</v>
      </c>
      <c r="C2">
        <v>8.3000000000000007</v>
      </c>
      <c r="D2" s="1" t="s">
        <v>14</v>
      </c>
    </row>
    <row r="3" spans="1:4" x14ac:dyDescent="0.25">
      <c r="A3">
        <v>2</v>
      </c>
      <c r="B3">
        <v>2</v>
      </c>
      <c r="C3">
        <v>11.92</v>
      </c>
      <c r="D3" s="1" t="s">
        <v>14</v>
      </c>
    </row>
    <row r="4" spans="1:4" x14ac:dyDescent="0.25">
      <c r="A4">
        <v>3</v>
      </c>
      <c r="B4">
        <v>3</v>
      </c>
      <c r="C4">
        <v>14.13</v>
      </c>
      <c r="D4" s="1" t="s">
        <v>15</v>
      </c>
    </row>
    <row r="5" spans="1:4" x14ac:dyDescent="0.25">
      <c r="A5">
        <v>4</v>
      </c>
      <c r="B5">
        <v>4</v>
      </c>
      <c r="C5">
        <v>14.75</v>
      </c>
      <c r="D5" s="1" t="s">
        <v>14</v>
      </c>
    </row>
    <row r="6" spans="1:4" x14ac:dyDescent="0.25">
      <c r="A6">
        <v>5</v>
      </c>
      <c r="B6">
        <v>5</v>
      </c>
      <c r="C6">
        <v>6.98</v>
      </c>
      <c r="D6" s="1" t="s">
        <v>15</v>
      </c>
    </row>
    <row r="7" spans="1:4" x14ac:dyDescent="0.25">
      <c r="A7">
        <v>6</v>
      </c>
      <c r="B7">
        <v>6</v>
      </c>
      <c r="C7">
        <v>7.34</v>
      </c>
      <c r="D7" s="1" t="s">
        <v>14</v>
      </c>
    </row>
    <row r="8" spans="1:4" x14ac:dyDescent="0.25">
      <c r="A8">
        <v>7</v>
      </c>
      <c r="B8">
        <v>7</v>
      </c>
      <c r="C8">
        <v>8.15</v>
      </c>
      <c r="D8" s="1" t="s">
        <v>16</v>
      </c>
    </row>
    <row r="9" spans="1:4" x14ac:dyDescent="0.25">
      <c r="A9">
        <v>8</v>
      </c>
      <c r="B9">
        <v>8</v>
      </c>
      <c r="C9">
        <v>6.96</v>
      </c>
      <c r="D9" s="1" t="s">
        <v>16</v>
      </c>
    </row>
    <row r="10" spans="1:4" x14ac:dyDescent="0.25">
      <c r="A10">
        <v>9</v>
      </c>
      <c r="B10">
        <v>9</v>
      </c>
      <c r="C10">
        <v>12.3</v>
      </c>
      <c r="D10" s="1" t="s">
        <v>15</v>
      </c>
    </row>
    <row r="11" spans="1:4" x14ac:dyDescent="0.25">
      <c r="A11">
        <v>10</v>
      </c>
      <c r="B11">
        <v>10</v>
      </c>
      <c r="C11">
        <v>3.98</v>
      </c>
      <c r="D11" s="1" t="s">
        <v>16</v>
      </c>
    </row>
    <row r="12" spans="1:4" x14ac:dyDescent="0.25">
      <c r="A12">
        <v>11</v>
      </c>
      <c r="B12">
        <v>11</v>
      </c>
      <c r="C12">
        <v>3.64</v>
      </c>
      <c r="D12" s="1" t="s">
        <v>16</v>
      </c>
    </row>
    <row r="13" spans="1:4" x14ac:dyDescent="0.25">
      <c r="A13">
        <v>12</v>
      </c>
      <c r="B13">
        <v>12</v>
      </c>
      <c r="C13">
        <v>6.32</v>
      </c>
      <c r="D13" s="1" t="s">
        <v>14</v>
      </c>
    </row>
    <row r="14" spans="1:4" x14ac:dyDescent="0.25">
      <c r="A14">
        <v>13</v>
      </c>
      <c r="B14">
        <v>13</v>
      </c>
      <c r="C14">
        <v>12.99</v>
      </c>
      <c r="D14" s="1" t="s">
        <v>14</v>
      </c>
    </row>
    <row r="15" spans="1:4" x14ac:dyDescent="0.25">
      <c r="A15">
        <v>14</v>
      </c>
      <c r="B15">
        <v>14</v>
      </c>
      <c r="C15">
        <v>13.84</v>
      </c>
      <c r="D15" s="1" t="s">
        <v>14</v>
      </c>
    </row>
    <row r="16" spans="1:4" x14ac:dyDescent="0.25">
      <c r="A16">
        <v>15</v>
      </c>
      <c r="B16">
        <v>15</v>
      </c>
      <c r="C16">
        <v>3.87</v>
      </c>
      <c r="D16" s="1" t="s">
        <v>15</v>
      </c>
    </row>
    <row r="17" spans="1:4" x14ac:dyDescent="0.25">
      <c r="A17">
        <v>16</v>
      </c>
      <c r="B17">
        <v>16</v>
      </c>
      <c r="C17">
        <v>14.61</v>
      </c>
      <c r="D17" s="1" t="s">
        <v>14</v>
      </c>
    </row>
    <row r="18" spans="1:4" x14ac:dyDescent="0.25">
      <c r="A18">
        <v>17</v>
      </c>
      <c r="B18">
        <v>17</v>
      </c>
      <c r="C18">
        <v>12.16</v>
      </c>
      <c r="D18" s="1" t="s">
        <v>14</v>
      </c>
    </row>
    <row r="19" spans="1:4" x14ac:dyDescent="0.25">
      <c r="A19">
        <v>18</v>
      </c>
      <c r="B19">
        <v>18</v>
      </c>
      <c r="C19">
        <v>10.1</v>
      </c>
      <c r="D19" s="1" t="s">
        <v>14</v>
      </c>
    </row>
    <row r="20" spans="1:4" x14ac:dyDescent="0.25">
      <c r="A20">
        <v>19</v>
      </c>
      <c r="B20">
        <v>19</v>
      </c>
      <c r="C20">
        <v>3.04</v>
      </c>
      <c r="D20" s="1" t="s">
        <v>14</v>
      </c>
    </row>
    <row r="21" spans="1:4" x14ac:dyDescent="0.25">
      <c r="A21">
        <v>20</v>
      </c>
      <c r="B21">
        <v>20</v>
      </c>
      <c r="C21">
        <v>10.77</v>
      </c>
      <c r="D21" s="1" t="s">
        <v>14</v>
      </c>
    </row>
    <row r="22" spans="1:4" x14ac:dyDescent="0.25">
      <c r="A22">
        <v>21</v>
      </c>
      <c r="B22">
        <v>21</v>
      </c>
      <c r="C22">
        <v>14.4</v>
      </c>
      <c r="D22" s="1" t="s">
        <v>15</v>
      </c>
    </row>
    <row r="23" spans="1:4" x14ac:dyDescent="0.25">
      <c r="A23">
        <v>22</v>
      </c>
      <c r="B23">
        <v>22</v>
      </c>
      <c r="C23">
        <v>13.54</v>
      </c>
      <c r="D23" s="1" t="s">
        <v>14</v>
      </c>
    </row>
    <row r="24" spans="1:4" x14ac:dyDescent="0.25">
      <c r="A24">
        <v>23</v>
      </c>
      <c r="B24">
        <v>23</v>
      </c>
      <c r="C24">
        <v>9.0299999999999994</v>
      </c>
      <c r="D24" s="1" t="s">
        <v>15</v>
      </c>
    </row>
    <row r="25" spans="1:4" x14ac:dyDescent="0.25">
      <c r="A25">
        <v>24</v>
      </c>
      <c r="B25">
        <v>24</v>
      </c>
      <c r="C25">
        <v>5.05</v>
      </c>
      <c r="D25" s="1" t="s">
        <v>15</v>
      </c>
    </row>
    <row r="26" spans="1:4" x14ac:dyDescent="0.25">
      <c r="A26">
        <v>25</v>
      </c>
      <c r="B26">
        <v>25</v>
      </c>
      <c r="C26">
        <v>5.74</v>
      </c>
      <c r="D26" s="1" t="s">
        <v>14</v>
      </c>
    </row>
    <row r="27" spans="1:4" x14ac:dyDescent="0.25">
      <c r="A27">
        <v>26</v>
      </c>
      <c r="B27">
        <v>26</v>
      </c>
      <c r="C27">
        <v>3.17</v>
      </c>
      <c r="D27" s="1" t="s">
        <v>16</v>
      </c>
    </row>
    <row r="28" spans="1:4" x14ac:dyDescent="0.25">
      <c r="A28">
        <v>27</v>
      </c>
      <c r="B28">
        <v>27</v>
      </c>
      <c r="C28">
        <v>11.88</v>
      </c>
      <c r="D28" s="1" t="s">
        <v>15</v>
      </c>
    </row>
    <row r="29" spans="1:4" x14ac:dyDescent="0.25">
      <c r="A29">
        <v>28</v>
      </c>
      <c r="B29">
        <v>28</v>
      </c>
      <c r="C29">
        <v>3.31</v>
      </c>
      <c r="D29" s="1" t="s">
        <v>14</v>
      </c>
    </row>
    <row r="30" spans="1:4" x14ac:dyDescent="0.25">
      <c r="A30">
        <v>29</v>
      </c>
      <c r="B30">
        <v>29</v>
      </c>
      <c r="C30">
        <v>5.89</v>
      </c>
      <c r="D30" s="1" t="s">
        <v>14</v>
      </c>
    </row>
    <row r="31" spans="1:4" x14ac:dyDescent="0.25">
      <c r="A31">
        <v>30</v>
      </c>
      <c r="B31">
        <v>30</v>
      </c>
      <c r="C31">
        <v>6.22</v>
      </c>
      <c r="D31" s="1" t="s">
        <v>14</v>
      </c>
    </row>
    <row r="32" spans="1:4" x14ac:dyDescent="0.25">
      <c r="A32">
        <v>31</v>
      </c>
      <c r="B32">
        <v>31</v>
      </c>
      <c r="C32">
        <v>6.66</v>
      </c>
      <c r="D32" s="1" t="s">
        <v>14</v>
      </c>
    </row>
    <row r="33" spans="1:4" x14ac:dyDescent="0.25">
      <c r="A33">
        <v>32</v>
      </c>
      <c r="B33">
        <v>32</v>
      </c>
      <c r="C33">
        <v>5.17</v>
      </c>
      <c r="D33" s="1" t="s">
        <v>14</v>
      </c>
    </row>
    <row r="34" spans="1:4" x14ac:dyDescent="0.25">
      <c r="A34">
        <v>33</v>
      </c>
      <c r="B34">
        <v>33</v>
      </c>
      <c r="C34">
        <v>10.86</v>
      </c>
      <c r="D34" s="1" t="s">
        <v>14</v>
      </c>
    </row>
    <row r="35" spans="1:4" x14ac:dyDescent="0.25">
      <c r="A35">
        <v>34</v>
      </c>
      <c r="B35">
        <v>34</v>
      </c>
      <c r="C35">
        <v>4.28</v>
      </c>
      <c r="D35" s="1" t="s">
        <v>15</v>
      </c>
    </row>
    <row r="36" spans="1:4" x14ac:dyDescent="0.25">
      <c r="A36">
        <v>35</v>
      </c>
      <c r="B36">
        <v>35</v>
      </c>
      <c r="C36">
        <v>6.97</v>
      </c>
      <c r="D36" s="1" t="s">
        <v>15</v>
      </c>
    </row>
    <row r="37" spans="1:4" x14ac:dyDescent="0.25">
      <c r="A37">
        <v>36</v>
      </c>
      <c r="B37">
        <v>36</v>
      </c>
      <c r="C37">
        <v>8.4700000000000006</v>
      </c>
      <c r="D37" s="1" t="s">
        <v>14</v>
      </c>
    </row>
    <row r="38" spans="1:4" x14ac:dyDescent="0.25">
      <c r="A38">
        <v>37</v>
      </c>
      <c r="B38">
        <v>37</v>
      </c>
      <c r="C38">
        <v>5.0199999999999996</v>
      </c>
      <c r="D38" s="1" t="s">
        <v>15</v>
      </c>
    </row>
    <row r="39" spans="1:4" x14ac:dyDescent="0.25">
      <c r="A39">
        <v>38</v>
      </c>
      <c r="B39">
        <v>38</v>
      </c>
      <c r="C39">
        <v>7.97</v>
      </c>
      <c r="D39" s="1" t="s">
        <v>15</v>
      </c>
    </row>
    <row r="40" spans="1:4" x14ac:dyDescent="0.25">
      <c r="A40">
        <v>39</v>
      </c>
      <c r="B40">
        <v>39</v>
      </c>
      <c r="C40">
        <v>13.69</v>
      </c>
      <c r="D40" s="1" t="s">
        <v>14</v>
      </c>
    </row>
    <row r="41" spans="1:4" x14ac:dyDescent="0.25">
      <c r="A41">
        <v>40</v>
      </c>
      <c r="B41">
        <v>40</v>
      </c>
      <c r="C41">
        <v>5.74</v>
      </c>
      <c r="D41" s="1" t="s">
        <v>14</v>
      </c>
    </row>
    <row r="42" spans="1:4" x14ac:dyDescent="0.25">
      <c r="A42">
        <v>41</v>
      </c>
      <c r="B42">
        <v>41</v>
      </c>
      <c r="C42">
        <v>2.96</v>
      </c>
      <c r="D42" s="1" t="s">
        <v>16</v>
      </c>
    </row>
    <row r="43" spans="1:4" x14ac:dyDescent="0.25">
      <c r="A43">
        <v>42</v>
      </c>
      <c r="B43">
        <v>42</v>
      </c>
      <c r="C43">
        <v>14.84</v>
      </c>
      <c r="D43" s="1" t="s">
        <v>14</v>
      </c>
    </row>
    <row r="44" spans="1:4" x14ac:dyDescent="0.25">
      <c r="A44">
        <v>43</v>
      </c>
      <c r="B44">
        <v>43</v>
      </c>
      <c r="C44">
        <v>14.51</v>
      </c>
      <c r="D44" s="1" t="s">
        <v>15</v>
      </c>
    </row>
    <row r="45" spans="1:4" x14ac:dyDescent="0.25">
      <c r="A45">
        <v>44</v>
      </c>
      <c r="B45">
        <v>44</v>
      </c>
      <c r="C45">
        <v>7.94</v>
      </c>
      <c r="D45" s="1" t="s">
        <v>14</v>
      </c>
    </row>
    <row r="46" spans="1:4" x14ac:dyDescent="0.25">
      <c r="A46">
        <v>45</v>
      </c>
      <c r="B46">
        <v>45</v>
      </c>
      <c r="C46">
        <v>14.99</v>
      </c>
      <c r="D46" s="1" t="s">
        <v>15</v>
      </c>
    </row>
    <row r="47" spans="1:4" x14ac:dyDescent="0.25">
      <c r="A47">
        <v>46</v>
      </c>
      <c r="B47">
        <v>46</v>
      </c>
      <c r="C47">
        <v>3.39</v>
      </c>
      <c r="D47" s="1" t="s">
        <v>14</v>
      </c>
    </row>
    <row r="48" spans="1:4" x14ac:dyDescent="0.25">
      <c r="A48">
        <v>47</v>
      </c>
      <c r="B48">
        <v>47</v>
      </c>
      <c r="C48">
        <v>6.67</v>
      </c>
      <c r="D48" s="1" t="s">
        <v>14</v>
      </c>
    </row>
    <row r="49" spans="1:4" x14ac:dyDescent="0.25">
      <c r="A49">
        <v>48</v>
      </c>
      <c r="B49">
        <v>48</v>
      </c>
      <c r="C49">
        <v>11.09</v>
      </c>
      <c r="D49" s="1" t="s">
        <v>14</v>
      </c>
    </row>
    <row r="50" spans="1:4" x14ac:dyDescent="0.25">
      <c r="A50">
        <v>49</v>
      </c>
      <c r="B50">
        <v>49</v>
      </c>
      <c r="C50">
        <v>12.79</v>
      </c>
      <c r="D50" s="1" t="s">
        <v>14</v>
      </c>
    </row>
    <row r="51" spans="1:4" x14ac:dyDescent="0.25">
      <c r="A51">
        <v>50</v>
      </c>
      <c r="B51">
        <v>50</v>
      </c>
      <c r="C51">
        <v>2.11</v>
      </c>
      <c r="D51" s="1" t="s">
        <v>15</v>
      </c>
    </row>
    <row r="52" spans="1:4" x14ac:dyDescent="0.25">
      <c r="A52">
        <v>51</v>
      </c>
      <c r="B52">
        <v>51</v>
      </c>
      <c r="C52">
        <v>12.12</v>
      </c>
      <c r="D52" s="1" t="s">
        <v>16</v>
      </c>
    </row>
    <row r="53" spans="1:4" x14ac:dyDescent="0.25">
      <c r="A53">
        <v>52</v>
      </c>
      <c r="B53">
        <v>52</v>
      </c>
      <c r="C53">
        <v>13.84</v>
      </c>
      <c r="D53" s="1" t="s">
        <v>15</v>
      </c>
    </row>
    <row r="54" spans="1:4" x14ac:dyDescent="0.25">
      <c r="A54">
        <v>53</v>
      </c>
      <c r="B54">
        <v>53</v>
      </c>
      <c r="C54">
        <v>12.83</v>
      </c>
      <c r="D54" s="1" t="s">
        <v>16</v>
      </c>
    </row>
    <row r="55" spans="1:4" x14ac:dyDescent="0.25">
      <c r="A55">
        <v>54</v>
      </c>
      <c r="B55">
        <v>54</v>
      </c>
      <c r="C55">
        <v>12.08</v>
      </c>
      <c r="D55" s="1" t="s">
        <v>14</v>
      </c>
    </row>
    <row r="56" spans="1:4" x14ac:dyDescent="0.25">
      <c r="A56">
        <v>55</v>
      </c>
      <c r="B56">
        <v>55</v>
      </c>
      <c r="C56">
        <v>12.43</v>
      </c>
      <c r="D56" s="1" t="s">
        <v>14</v>
      </c>
    </row>
    <row r="57" spans="1:4" x14ac:dyDescent="0.25">
      <c r="A57">
        <v>56</v>
      </c>
      <c r="B57">
        <v>56</v>
      </c>
      <c r="C57">
        <v>4.47</v>
      </c>
      <c r="D57" s="1" t="s">
        <v>14</v>
      </c>
    </row>
    <row r="58" spans="1:4" x14ac:dyDescent="0.25">
      <c r="A58">
        <v>57</v>
      </c>
      <c r="B58">
        <v>57</v>
      </c>
      <c r="C58">
        <v>11.82</v>
      </c>
      <c r="D58" s="1" t="s">
        <v>15</v>
      </c>
    </row>
    <row r="59" spans="1:4" x14ac:dyDescent="0.25">
      <c r="A59">
        <v>58</v>
      </c>
      <c r="B59">
        <v>58</v>
      </c>
      <c r="C59">
        <v>10.85</v>
      </c>
      <c r="D59" s="1" t="s">
        <v>14</v>
      </c>
    </row>
    <row r="60" spans="1:4" x14ac:dyDescent="0.25">
      <c r="A60">
        <v>59</v>
      </c>
      <c r="B60">
        <v>59</v>
      </c>
      <c r="C60">
        <v>3.26</v>
      </c>
      <c r="D60" s="1" t="s">
        <v>15</v>
      </c>
    </row>
    <row r="61" spans="1:4" x14ac:dyDescent="0.25">
      <c r="A61">
        <v>60</v>
      </c>
      <c r="B61">
        <v>60</v>
      </c>
      <c r="C61">
        <v>2.5099999999999998</v>
      </c>
      <c r="D61" s="1" t="s">
        <v>15</v>
      </c>
    </row>
    <row r="62" spans="1:4" x14ac:dyDescent="0.25">
      <c r="A62">
        <v>61</v>
      </c>
      <c r="B62">
        <v>61</v>
      </c>
      <c r="C62">
        <v>2.4300000000000002</v>
      </c>
      <c r="D62" s="1" t="s">
        <v>14</v>
      </c>
    </row>
    <row r="63" spans="1:4" x14ac:dyDescent="0.25">
      <c r="A63">
        <v>62</v>
      </c>
      <c r="B63">
        <v>62</v>
      </c>
      <c r="C63">
        <v>3.71</v>
      </c>
      <c r="D63" s="1" t="s">
        <v>16</v>
      </c>
    </row>
    <row r="64" spans="1:4" x14ac:dyDescent="0.25">
      <c r="A64">
        <v>63</v>
      </c>
      <c r="B64">
        <v>63</v>
      </c>
      <c r="C64">
        <v>6.25</v>
      </c>
      <c r="D64" s="1" t="s">
        <v>14</v>
      </c>
    </row>
    <row r="65" spans="1:4" x14ac:dyDescent="0.25">
      <c r="A65">
        <v>64</v>
      </c>
      <c r="B65">
        <v>64</v>
      </c>
      <c r="C65">
        <v>4.6100000000000003</v>
      </c>
      <c r="D65" s="1" t="s">
        <v>15</v>
      </c>
    </row>
    <row r="66" spans="1:4" x14ac:dyDescent="0.25">
      <c r="A66">
        <v>65</v>
      </c>
      <c r="B66">
        <v>65</v>
      </c>
      <c r="C66">
        <v>13.39</v>
      </c>
      <c r="D66" s="1" t="s">
        <v>14</v>
      </c>
    </row>
    <row r="67" spans="1:4" x14ac:dyDescent="0.25">
      <c r="A67">
        <v>66</v>
      </c>
      <c r="B67">
        <v>66</v>
      </c>
      <c r="C67">
        <v>8.52</v>
      </c>
      <c r="D67" s="1" t="s">
        <v>14</v>
      </c>
    </row>
    <row r="68" spans="1:4" x14ac:dyDescent="0.25">
      <c r="A68">
        <v>67</v>
      </c>
      <c r="B68">
        <v>67</v>
      </c>
      <c r="C68">
        <v>4.1399999999999997</v>
      </c>
      <c r="D68" s="1" t="s">
        <v>16</v>
      </c>
    </row>
    <row r="69" spans="1:4" x14ac:dyDescent="0.25">
      <c r="A69">
        <v>68</v>
      </c>
      <c r="B69">
        <v>68</v>
      </c>
      <c r="C69">
        <v>14.27</v>
      </c>
      <c r="D69" s="1" t="s">
        <v>16</v>
      </c>
    </row>
    <row r="70" spans="1:4" x14ac:dyDescent="0.25">
      <c r="A70">
        <v>69</v>
      </c>
      <c r="B70">
        <v>69</v>
      </c>
      <c r="C70">
        <v>5.84</v>
      </c>
      <c r="D70" s="1" t="s">
        <v>15</v>
      </c>
    </row>
    <row r="71" spans="1:4" x14ac:dyDescent="0.25">
      <c r="A71">
        <v>70</v>
      </c>
      <c r="B71">
        <v>70</v>
      </c>
      <c r="C71">
        <v>12.46</v>
      </c>
      <c r="D71" s="1" t="s">
        <v>14</v>
      </c>
    </row>
    <row r="72" spans="1:4" x14ac:dyDescent="0.25">
      <c r="A72">
        <v>71</v>
      </c>
      <c r="B72">
        <v>71</v>
      </c>
      <c r="C72">
        <v>2.98</v>
      </c>
      <c r="D72" s="1" t="s">
        <v>15</v>
      </c>
    </row>
    <row r="73" spans="1:4" x14ac:dyDescent="0.25">
      <c r="A73">
        <v>72</v>
      </c>
      <c r="B73">
        <v>72</v>
      </c>
      <c r="C73">
        <v>4.93</v>
      </c>
      <c r="D73" s="1" t="s">
        <v>15</v>
      </c>
    </row>
    <row r="74" spans="1:4" x14ac:dyDescent="0.25">
      <c r="A74">
        <v>73</v>
      </c>
      <c r="B74">
        <v>73</v>
      </c>
      <c r="C74">
        <v>10.77</v>
      </c>
      <c r="D74" s="1" t="s">
        <v>14</v>
      </c>
    </row>
    <row r="75" spans="1:4" x14ac:dyDescent="0.25">
      <c r="A75">
        <v>74</v>
      </c>
      <c r="B75">
        <v>74</v>
      </c>
      <c r="C75">
        <v>12.99</v>
      </c>
      <c r="D75" s="1" t="s">
        <v>14</v>
      </c>
    </row>
    <row r="76" spans="1:4" x14ac:dyDescent="0.25">
      <c r="A76">
        <v>75</v>
      </c>
      <c r="B76">
        <v>75</v>
      </c>
      <c r="C76">
        <v>3.17</v>
      </c>
      <c r="D76" s="1" t="s">
        <v>14</v>
      </c>
    </row>
    <row r="77" spans="1:4" x14ac:dyDescent="0.25">
      <c r="A77">
        <v>76</v>
      </c>
      <c r="B77">
        <v>76</v>
      </c>
      <c r="C77">
        <v>5.44</v>
      </c>
      <c r="D77" s="1" t="s">
        <v>14</v>
      </c>
    </row>
    <row r="78" spans="1:4" x14ac:dyDescent="0.25">
      <c r="A78">
        <v>77</v>
      </c>
      <c r="B78">
        <v>77</v>
      </c>
      <c r="C78">
        <v>6.79</v>
      </c>
      <c r="D78" s="1" t="s">
        <v>15</v>
      </c>
    </row>
    <row r="79" spans="1:4" x14ac:dyDescent="0.25">
      <c r="A79">
        <v>78</v>
      </c>
      <c r="B79">
        <v>78</v>
      </c>
      <c r="C79">
        <v>5.41</v>
      </c>
      <c r="D79" s="1" t="s">
        <v>14</v>
      </c>
    </row>
    <row r="80" spans="1:4" x14ac:dyDescent="0.25">
      <c r="A80">
        <v>79</v>
      </c>
      <c r="B80">
        <v>79</v>
      </c>
      <c r="C80">
        <v>10.3</v>
      </c>
      <c r="D80" s="1" t="s">
        <v>14</v>
      </c>
    </row>
    <row r="81" spans="1:4" x14ac:dyDescent="0.25">
      <c r="A81">
        <v>80</v>
      </c>
      <c r="B81">
        <v>80</v>
      </c>
      <c r="C81">
        <v>10.77</v>
      </c>
      <c r="D81" s="1" t="s">
        <v>14</v>
      </c>
    </row>
    <row r="82" spans="1:4" x14ac:dyDescent="0.25">
      <c r="A82">
        <v>81</v>
      </c>
      <c r="B82">
        <v>81</v>
      </c>
      <c r="C82">
        <v>10.050000000000001</v>
      </c>
      <c r="D82" s="1" t="s">
        <v>16</v>
      </c>
    </row>
    <row r="83" spans="1:4" x14ac:dyDescent="0.25">
      <c r="A83">
        <v>82</v>
      </c>
      <c r="B83">
        <v>82</v>
      </c>
      <c r="C83">
        <v>6.26</v>
      </c>
      <c r="D83" s="1" t="s">
        <v>15</v>
      </c>
    </row>
    <row r="84" spans="1:4" x14ac:dyDescent="0.25">
      <c r="A84">
        <v>83</v>
      </c>
      <c r="B84">
        <v>83</v>
      </c>
      <c r="C84">
        <v>10.42</v>
      </c>
      <c r="D84" s="1" t="s">
        <v>15</v>
      </c>
    </row>
    <row r="85" spans="1:4" x14ac:dyDescent="0.25">
      <c r="A85">
        <v>84</v>
      </c>
      <c r="B85">
        <v>84</v>
      </c>
      <c r="C85">
        <v>8.0399999999999991</v>
      </c>
      <c r="D85" s="1" t="s">
        <v>15</v>
      </c>
    </row>
    <row r="86" spans="1:4" x14ac:dyDescent="0.25">
      <c r="A86">
        <v>85</v>
      </c>
      <c r="B86">
        <v>85</v>
      </c>
      <c r="C86">
        <v>10.44</v>
      </c>
      <c r="D86" s="1" t="s">
        <v>14</v>
      </c>
    </row>
    <row r="87" spans="1:4" x14ac:dyDescent="0.25">
      <c r="A87">
        <v>86</v>
      </c>
      <c r="B87">
        <v>86</v>
      </c>
      <c r="C87">
        <v>2.59</v>
      </c>
      <c r="D87" s="1" t="s">
        <v>14</v>
      </c>
    </row>
    <row r="88" spans="1:4" x14ac:dyDescent="0.25">
      <c r="A88">
        <v>87</v>
      </c>
      <c r="B88">
        <v>87</v>
      </c>
      <c r="C88">
        <v>14.95</v>
      </c>
      <c r="D88" s="1" t="s">
        <v>14</v>
      </c>
    </row>
    <row r="89" spans="1:4" x14ac:dyDescent="0.25">
      <c r="A89">
        <v>88</v>
      </c>
      <c r="B89">
        <v>88</v>
      </c>
      <c r="C89">
        <v>5.05</v>
      </c>
      <c r="D89" s="1" t="s">
        <v>14</v>
      </c>
    </row>
    <row r="90" spans="1:4" x14ac:dyDescent="0.25">
      <c r="A90">
        <v>89</v>
      </c>
      <c r="B90">
        <v>89</v>
      </c>
      <c r="C90">
        <v>7.05</v>
      </c>
      <c r="D90" s="1" t="s">
        <v>14</v>
      </c>
    </row>
    <row r="91" spans="1:4" x14ac:dyDescent="0.25">
      <c r="A91">
        <v>90</v>
      </c>
      <c r="B91">
        <v>90</v>
      </c>
      <c r="C91">
        <v>14.34</v>
      </c>
      <c r="D91" s="1" t="s">
        <v>15</v>
      </c>
    </row>
    <row r="92" spans="1:4" x14ac:dyDescent="0.25">
      <c r="A92">
        <v>91</v>
      </c>
      <c r="B92">
        <v>91</v>
      </c>
      <c r="C92">
        <v>9.02</v>
      </c>
      <c r="D92" s="1" t="s">
        <v>14</v>
      </c>
    </row>
    <row r="93" spans="1:4" x14ac:dyDescent="0.25">
      <c r="A93">
        <v>92</v>
      </c>
      <c r="B93">
        <v>92</v>
      </c>
      <c r="C93">
        <v>11.45</v>
      </c>
      <c r="D93" s="1" t="s">
        <v>15</v>
      </c>
    </row>
    <row r="94" spans="1:4" x14ac:dyDescent="0.25">
      <c r="A94">
        <v>93</v>
      </c>
      <c r="B94">
        <v>93</v>
      </c>
      <c r="C94">
        <v>10.51</v>
      </c>
      <c r="D94" s="1" t="s">
        <v>15</v>
      </c>
    </row>
    <row r="95" spans="1:4" x14ac:dyDescent="0.25">
      <c r="A95">
        <v>94</v>
      </c>
      <c r="B95">
        <v>94</v>
      </c>
      <c r="C95">
        <v>10</v>
      </c>
      <c r="D95" s="1" t="s">
        <v>16</v>
      </c>
    </row>
    <row r="96" spans="1:4" x14ac:dyDescent="0.25">
      <c r="A96">
        <v>95</v>
      </c>
      <c r="B96">
        <v>95</v>
      </c>
      <c r="C96">
        <v>5.64</v>
      </c>
      <c r="D96" s="1" t="s">
        <v>15</v>
      </c>
    </row>
    <row r="97" spans="1:4" x14ac:dyDescent="0.25">
      <c r="A97">
        <v>96</v>
      </c>
      <c r="B97">
        <v>96</v>
      </c>
      <c r="C97">
        <v>4.82</v>
      </c>
      <c r="D97" s="1" t="s">
        <v>14</v>
      </c>
    </row>
    <row r="98" spans="1:4" x14ac:dyDescent="0.25">
      <c r="A98">
        <v>97</v>
      </c>
      <c r="B98">
        <v>97</v>
      </c>
      <c r="C98">
        <v>5.07</v>
      </c>
      <c r="D98" s="1" t="s">
        <v>14</v>
      </c>
    </row>
    <row r="99" spans="1:4" x14ac:dyDescent="0.25">
      <c r="A99">
        <v>98</v>
      </c>
      <c r="B99">
        <v>98</v>
      </c>
      <c r="C99">
        <v>14.75</v>
      </c>
      <c r="D99" s="1" t="s">
        <v>14</v>
      </c>
    </row>
    <row r="100" spans="1:4" x14ac:dyDescent="0.25">
      <c r="A100">
        <v>99</v>
      </c>
      <c r="B100">
        <v>99</v>
      </c>
      <c r="C100">
        <v>13.72</v>
      </c>
      <c r="D100" s="1" t="s">
        <v>15</v>
      </c>
    </row>
    <row r="101" spans="1:4" x14ac:dyDescent="0.25">
      <c r="A101">
        <v>100</v>
      </c>
      <c r="B101">
        <v>100</v>
      </c>
      <c r="C101">
        <v>2.79</v>
      </c>
      <c r="D101" s="1" t="s">
        <v>14</v>
      </c>
    </row>
    <row r="102" spans="1:4" x14ac:dyDescent="0.25">
      <c r="A102">
        <v>101</v>
      </c>
      <c r="B102">
        <v>101</v>
      </c>
      <c r="C102">
        <v>14.59</v>
      </c>
      <c r="D102" s="1" t="s">
        <v>16</v>
      </c>
    </row>
    <row r="103" spans="1:4" x14ac:dyDescent="0.25">
      <c r="A103">
        <v>102</v>
      </c>
      <c r="B103">
        <v>102</v>
      </c>
      <c r="C103">
        <v>12.71</v>
      </c>
      <c r="D103" s="1" t="s">
        <v>14</v>
      </c>
    </row>
    <row r="104" spans="1:4" x14ac:dyDescent="0.25">
      <c r="A104">
        <v>103</v>
      </c>
      <c r="B104">
        <v>103</v>
      </c>
      <c r="C104">
        <v>4.76</v>
      </c>
      <c r="D104" s="1" t="s">
        <v>15</v>
      </c>
    </row>
    <row r="105" spans="1:4" x14ac:dyDescent="0.25">
      <c r="A105">
        <v>104</v>
      </c>
      <c r="B105">
        <v>104</v>
      </c>
      <c r="C105">
        <v>14.62</v>
      </c>
      <c r="D105" s="1" t="s">
        <v>14</v>
      </c>
    </row>
    <row r="106" spans="1:4" x14ac:dyDescent="0.25">
      <c r="A106">
        <v>105</v>
      </c>
      <c r="B106">
        <v>105</v>
      </c>
      <c r="C106">
        <v>6.34</v>
      </c>
      <c r="D106" s="1" t="s">
        <v>16</v>
      </c>
    </row>
    <row r="107" spans="1:4" x14ac:dyDescent="0.25">
      <c r="A107">
        <v>106</v>
      </c>
      <c r="B107">
        <v>106</v>
      </c>
      <c r="C107">
        <v>12.23</v>
      </c>
      <c r="D107" s="1" t="s">
        <v>14</v>
      </c>
    </row>
    <row r="108" spans="1:4" x14ac:dyDescent="0.25">
      <c r="A108">
        <v>107</v>
      </c>
      <c r="B108">
        <v>107</v>
      </c>
      <c r="C108">
        <v>12.79</v>
      </c>
      <c r="D108" s="1" t="s">
        <v>14</v>
      </c>
    </row>
    <row r="109" spans="1:4" x14ac:dyDescent="0.25">
      <c r="A109">
        <v>108</v>
      </c>
      <c r="B109">
        <v>108</v>
      </c>
      <c r="C109">
        <v>9.6199999999999992</v>
      </c>
      <c r="D109" s="1" t="s">
        <v>15</v>
      </c>
    </row>
    <row r="110" spans="1:4" x14ac:dyDescent="0.25">
      <c r="A110">
        <v>109</v>
      </c>
      <c r="B110">
        <v>109</v>
      </c>
      <c r="C110">
        <v>5.03</v>
      </c>
      <c r="D110" s="1" t="s">
        <v>15</v>
      </c>
    </row>
    <row r="111" spans="1:4" x14ac:dyDescent="0.25">
      <c r="A111">
        <v>110</v>
      </c>
      <c r="B111">
        <v>110</v>
      </c>
      <c r="C111">
        <v>12.25</v>
      </c>
      <c r="D111" s="1" t="s">
        <v>14</v>
      </c>
    </row>
    <row r="112" spans="1:4" x14ac:dyDescent="0.25">
      <c r="A112">
        <v>111</v>
      </c>
      <c r="B112">
        <v>111</v>
      </c>
      <c r="C112">
        <v>5.6</v>
      </c>
      <c r="D112" s="1" t="s">
        <v>16</v>
      </c>
    </row>
    <row r="113" spans="1:4" x14ac:dyDescent="0.25">
      <c r="A113">
        <v>112</v>
      </c>
      <c r="B113">
        <v>112</v>
      </c>
      <c r="C113">
        <v>14.84</v>
      </c>
      <c r="D113" s="1" t="s">
        <v>14</v>
      </c>
    </row>
    <row r="114" spans="1:4" x14ac:dyDescent="0.25">
      <c r="A114">
        <v>113</v>
      </c>
      <c r="B114">
        <v>113</v>
      </c>
      <c r="C114">
        <v>12.38</v>
      </c>
      <c r="D114" s="1" t="s">
        <v>14</v>
      </c>
    </row>
    <row r="115" spans="1:4" x14ac:dyDescent="0.25">
      <c r="A115">
        <v>114</v>
      </c>
      <c r="B115">
        <v>114</v>
      </c>
      <c r="C115">
        <v>13.26</v>
      </c>
      <c r="D115" s="1" t="s">
        <v>14</v>
      </c>
    </row>
    <row r="116" spans="1:4" x14ac:dyDescent="0.25">
      <c r="A116">
        <v>115</v>
      </c>
      <c r="B116">
        <v>115</v>
      </c>
      <c r="C116">
        <v>6.66</v>
      </c>
      <c r="D116" s="1" t="s">
        <v>15</v>
      </c>
    </row>
    <row r="117" spans="1:4" x14ac:dyDescent="0.25">
      <c r="A117">
        <v>116</v>
      </c>
      <c r="B117">
        <v>116</v>
      </c>
      <c r="C117">
        <v>9.66</v>
      </c>
      <c r="D117" s="1" t="s">
        <v>14</v>
      </c>
    </row>
    <row r="118" spans="1:4" x14ac:dyDescent="0.25">
      <c r="A118">
        <v>117</v>
      </c>
      <c r="B118">
        <v>117</v>
      </c>
      <c r="C118">
        <v>5.45</v>
      </c>
      <c r="D118" s="1" t="s">
        <v>14</v>
      </c>
    </row>
    <row r="119" spans="1:4" x14ac:dyDescent="0.25">
      <c r="A119">
        <v>118</v>
      </c>
      <c r="B119">
        <v>118</v>
      </c>
      <c r="C119">
        <v>7.47</v>
      </c>
      <c r="D119" s="1" t="s">
        <v>14</v>
      </c>
    </row>
    <row r="120" spans="1:4" x14ac:dyDescent="0.25">
      <c r="A120">
        <v>119</v>
      </c>
      <c r="B120">
        <v>119</v>
      </c>
      <c r="C120">
        <v>2.83</v>
      </c>
      <c r="D120" s="1" t="s">
        <v>14</v>
      </c>
    </row>
    <row r="121" spans="1:4" x14ac:dyDescent="0.25">
      <c r="A121">
        <v>120</v>
      </c>
      <c r="B121">
        <v>120</v>
      </c>
      <c r="C121">
        <v>6.71</v>
      </c>
      <c r="D121" s="1" t="s">
        <v>14</v>
      </c>
    </row>
    <row r="122" spans="1:4" x14ac:dyDescent="0.25">
      <c r="A122">
        <v>121</v>
      </c>
      <c r="B122">
        <v>121</v>
      </c>
      <c r="C122">
        <v>7.88</v>
      </c>
      <c r="D122" s="1" t="s">
        <v>14</v>
      </c>
    </row>
    <row r="123" spans="1:4" x14ac:dyDescent="0.25">
      <c r="A123">
        <v>122</v>
      </c>
      <c r="B123">
        <v>122</v>
      </c>
      <c r="C123">
        <v>10</v>
      </c>
      <c r="D123" s="1" t="s">
        <v>15</v>
      </c>
    </row>
    <row r="124" spans="1:4" x14ac:dyDescent="0.25">
      <c r="A124">
        <v>123</v>
      </c>
      <c r="B124">
        <v>123</v>
      </c>
      <c r="C124">
        <v>13.81</v>
      </c>
      <c r="D124" s="1" t="s">
        <v>15</v>
      </c>
    </row>
    <row r="125" spans="1:4" x14ac:dyDescent="0.25">
      <c r="A125">
        <v>124</v>
      </c>
      <c r="B125">
        <v>124</v>
      </c>
      <c r="C125">
        <v>5.92</v>
      </c>
      <c r="D125" s="1" t="s">
        <v>15</v>
      </c>
    </row>
    <row r="126" spans="1:4" x14ac:dyDescent="0.25">
      <c r="A126">
        <v>125</v>
      </c>
      <c r="B126">
        <v>125</v>
      </c>
      <c r="C126">
        <v>2.4</v>
      </c>
      <c r="D126" s="1" t="s">
        <v>16</v>
      </c>
    </row>
    <row r="127" spans="1:4" x14ac:dyDescent="0.25">
      <c r="A127">
        <v>126</v>
      </c>
      <c r="B127">
        <v>126</v>
      </c>
      <c r="C127">
        <v>13.01</v>
      </c>
      <c r="D127" s="1" t="s">
        <v>14</v>
      </c>
    </row>
    <row r="128" spans="1:4" x14ac:dyDescent="0.25">
      <c r="A128">
        <v>127</v>
      </c>
      <c r="B128">
        <v>127</v>
      </c>
      <c r="C128">
        <v>3.4</v>
      </c>
      <c r="D128" s="1" t="s">
        <v>15</v>
      </c>
    </row>
    <row r="129" spans="1:4" x14ac:dyDescent="0.25">
      <c r="A129">
        <v>128</v>
      </c>
      <c r="B129">
        <v>128</v>
      </c>
      <c r="C129">
        <v>7.77</v>
      </c>
      <c r="D129" s="1" t="s">
        <v>15</v>
      </c>
    </row>
    <row r="130" spans="1:4" x14ac:dyDescent="0.25">
      <c r="A130">
        <v>129</v>
      </c>
      <c r="B130">
        <v>129</v>
      </c>
      <c r="C130">
        <v>6.19</v>
      </c>
      <c r="D130" s="1" t="s">
        <v>14</v>
      </c>
    </row>
    <row r="131" spans="1:4" x14ac:dyDescent="0.25">
      <c r="A131">
        <v>130</v>
      </c>
      <c r="B131">
        <v>130</v>
      </c>
      <c r="C131">
        <v>3.64</v>
      </c>
      <c r="D131" s="1" t="s">
        <v>15</v>
      </c>
    </row>
    <row r="132" spans="1:4" x14ac:dyDescent="0.25">
      <c r="A132">
        <v>131</v>
      </c>
      <c r="B132">
        <v>131</v>
      </c>
      <c r="C132">
        <v>9.61</v>
      </c>
      <c r="D132" s="1" t="s">
        <v>15</v>
      </c>
    </row>
    <row r="133" spans="1:4" x14ac:dyDescent="0.25">
      <c r="A133">
        <v>132</v>
      </c>
      <c r="B133">
        <v>132</v>
      </c>
      <c r="C133">
        <v>6.95</v>
      </c>
      <c r="D133" s="1" t="s">
        <v>14</v>
      </c>
    </row>
    <row r="134" spans="1:4" x14ac:dyDescent="0.25">
      <c r="A134">
        <v>133</v>
      </c>
      <c r="B134">
        <v>133</v>
      </c>
      <c r="C134">
        <v>5.83</v>
      </c>
      <c r="D134" s="1" t="s">
        <v>14</v>
      </c>
    </row>
    <row r="135" spans="1:4" x14ac:dyDescent="0.25">
      <c r="A135">
        <v>134</v>
      </c>
      <c r="B135">
        <v>134</v>
      </c>
      <c r="C135">
        <v>7.59</v>
      </c>
      <c r="D135" s="1" t="s">
        <v>15</v>
      </c>
    </row>
    <row r="136" spans="1:4" x14ac:dyDescent="0.25">
      <c r="A136">
        <v>135</v>
      </c>
      <c r="B136">
        <v>135</v>
      </c>
      <c r="C136">
        <v>3.49</v>
      </c>
      <c r="D136" s="1" t="s">
        <v>15</v>
      </c>
    </row>
    <row r="137" spans="1:4" x14ac:dyDescent="0.25">
      <c r="A137">
        <v>136</v>
      </c>
      <c r="B137">
        <v>136</v>
      </c>
      <c r="C137">
        <v>13.41</v>
      </c>
      <c r="D137" s="1" t="s">
        <v>14</v>
      </c>
    </row>
    <row r="138" spans="1:4" x14ac:dyDescent="0.25">
      <c r="A138">
        <v>137</v>
      </c>
      <c r="B138">
        <v>137</v>
      </c>
      <c r="C138">
        <v>13.25</v>
      </c>
      <c r="D138" s="1" t="s">
        <v>14</v>
      </c>
    </row>
    <row r="139" spans="1:4" x14ac:dyDescent="0.25">
      <c r="A139">
        <v>138</v>
      </c>
      <c r="B139">
        <v>138</v>
      </c>
      <c r="C139">
        <v>13.55</v>
      </c>
      <c r="D139" s="1" t="s">
        <v>14</v>
      </c>
    </row>
    <row r="140" spans="1:4" x14ac:dyDescent="0.25">
      <c r="A140">
        <v>139</v>
      </c>
      <c r="B140">
        <v>139</v>
      </c>
      <c r="C140">
        <v>12.76</v>
      </c>
      <c r="D140" s="1" t="s">
        <v>14</v>
      </c>
    </row>
    <row r="141" spans="1:4" x14ac:dyDescent="0.25">
      <c r="A141">
        <v>140</v>
      </c>
      <c r="B141">
        <v>140</v>
      </c>
      <c r="C141">
        <v>11.48</v>
      </c>
      <c r="D141" s="1" t="s">
        <v>14</v>
      </c>
    </row>
    <row r="142" spans="1:4" x14ac:dyDescent="0.25">
      <c r="A142">
        <v>141</v>
      </c>
      <c r="B142">
        <v>141</v>
      </c>
      <c r="C142">
        <v>6.06</v>
      </c>
      <c r="D142" s="1" t="s">
        <v>14</v>
      </c>
    </row>
    <row r="143" spans="1:4" x14ac:dyDescent="0.25">
      <c r="A143">
        <v>142</v>
      </c>
      <c r="B143">
        <v>142</v>
      </c>
      <c r="C143">
        <v>14.4</v>
      </c>
      <c r="D143" s="1" t="s">
        <v>15</v>
      </c>
    </row>
    <row r="144" spans="1:4" x14ac:dyDescent="0.25">
      <c r="A144">
        <v>143</v>
      </c>
      <c r="B144">
        <v>143</v>
      </c>
      <c r="C144">
        <v>8.17</v>
      </c>
      <c r="D144" s="1" t="s">
        <v>14</v>
      </c>
    </row>
    <row r="145" spans="1:4" x14ac:dyDescent="0.25">
      <c r="A145">
        <v>144</v>
      </c>
      <c r="B145">
        <v>144</v>
      </c>
      <c r="C145">
        <v>3.11</v>
      </c>
      <c r="D145" s="1" t="s">
        <v>14</v>
      </c>
    </row>
    <row r="146" spans="1:4" x14ac:dyDescent="0.25">
      <c r="A146">
        <v>145</v>
      </c>
      <c r="B146">
        <v>145</v>
      </c>
      <c r="C146">
        <v>11.68</v>
      </c>
      <c r="D146" s="1" t="s">
        <v>14</v>
      </c>
    </row>
    <row r="147" spans="1:4" x14ac:dyDescent="0.25">
      <c r="A147">
        <v>146</v>
      </c>
      <c r="B147">
        <v>146</v>
      </c>
      <c r="C147">
        <v>3.69</v>
      </c>
      <c r="D147" s="1" t="s">
        <v>14</v>
      </c>
    </row>
    <row r="148" spans="1:4" x14ac:dyDescent="0.25">
      <c r="A148">
        <v>147</v>
      </c>
      <c r="B148">
        <v>147</v>
      </c>
      <c r="C148">
        <v>14.44</v>
      </c>
      <c r="D148" s="1" t="s">
        <v>14</v>
      </c>
    </row>
    <row r="149" spans="1:4" x14ac:dyDescent="0.25">
      <c r="A149">
        <v>148</v>
      </c>
      <c r="B149">
        <v>148</v>
      </c>
      <c r="C149">
        <v>10.71</v>
      </c>
      <c r="D149" s="1" t="s">
        <v>14</v>
      </c>
    </row>
    <row r="150" spans="1:4" x14ac:dyDescent="0.25">
      <c r="A150">
        <v>149</v>
      </c>
      <c r="B150">
        <v>149</v>
      </c>
      <c r="C150">
        <v>13.36</v>
      </c>
      <c r="D150" s="1" t="s">
        <v>16</v>
      </c>
    </row>
    <row r="151" spans="1:4" x14ac:dyDescent="0.25">
      <c r="A151">
        <v>150</v>
      </c>
      <c r="B151">
        <v>150</v>
      </c>
      <c r="C151">
        <v>7.5</v>
      </c>
      <c r="D15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E483-A8E2-4BF8-8B8B-C505254B154F}">
  <dimension ref="A1:D21"/>
  <sheetViews>
    <sheetView workbookViewId="0"/>
  </sheetViews>
  <sheetFormatPr defaultRowHeight="15" x14ac:dyDescent="0.25"/>
  <cols>
    <col min="1" max="1" width="9.7109375" bestFit="1" customWidth="1"/>
    <col min="2" max="2" width="12" bestFit="1" customWidth="1"/>
    <col min="3" max="3" width="16.42578125" bestFit="1" customWidth="1"/>
    <col min="4" max="4" width="1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>
        <v>2018</v>
      </c>
      <c r="D2" s="1" t="s">
        <v>5</v>
      </c>
    </row>
    <row r="3" spans="1:4" x14ac:dyDescent="0.25">
      <c r="A3">
        <v>2</v>
      </c>
      <c r="B3" s="1" t="s">
        <v>6</v>
      </c>
      <c r="C3">
        <v>2020</v>
      </c>
      <c r="D3" s="1" t="s">
        <v>7</v>
      </c>
    </row>
    <row r="4" spans="1:4" x14ac:dyDescent="0.25">
      <c r="A4">
        <v>3</v>
      </c>
      <c r="B4" s="1" t="s">
        <v>4</v>
      </c>
      <c r="C4">
        <v>2017</v>
      </c>
      <c r="D4" s="1" t="s">
        <v>7</v>
      </c>
    </row>
    <row r="5" spans="1:4" x14ac:dyDescent="0.25">
      <c r="A5">
        <v>4</v>
      </c>
      <c r="B5" s="1" t="s">
        <v>6</v>
      </c>
      <c r="C5">
        <v>2017</v>
      </c>
      <c r="D5" s="1" t="s">
        <v>7</v>
      </c>
    </row>
    <row r="6" spans="1:4" x14ac:dyDescent="0.25">
      <c r="A6">
        <v>5</v>
      </c>
      <c r="B6" s="1" t="s">
        <v>6</v>
      </c>
      <c r="C6">
        <v>2021</v>
      </c>
      <c r="D6" s="1" t="s">
        <v>7</v>
      </c>
    </row>
    <row r="7" spans="1:4" x14ac:dyDescent="0.25">
      <c r="A7">
        <v>6</v>
      </c>
      <c r="B7" s="1" t="s">
        <v>4</v>
      </c>
      <c r="C7">
        <v>2018</v>
      </c>
      <c r="D7" s="1" t="s">
        <v>7</v>
      </c>
    </row>
    <row r="8" spans="1:4" x14ac:dyDescent="0.25">
      <c r="A8">
        <v>7</v>
      </c>
      <c r="B8" s="1" t="s">
        <v>6</v>
      </c>
      <c r="C8">
        <v>2018</v>
      </c>
      <c r="D8" s="1" t="s">
        <v>8</v>
      </c>
    </row>
    <row r="9" spans="1:4" x14ac:dyDescent="0.25">
      <c r="A9">
        <v>8</v>
      </c>
      <c r="B9" s="1" t="s">
        <v>9</v>
      </c>
      <c r="C9">
        <v>2019</v>
      </c>
      <c r="D9" s="1" t="s">
        <v>7</v>
      </c>
    </row>
    <row r="10" spans="1:4" x14ac:dyDescent="0.25">
      <c r="A10">
        <v>9</v>
      </c>
      <c r="B10" s="1" t="s">
        <v>6</v>
      </c>
      <c r="C10">
        <v>2019</v>
      </c>
      <c r="D10" s="1" t="s">
        <v>7</v>
      </c>
    </row>
    <row r="11" spans="1:4" x14ac:dyDescent="0.25">
      <c r="A11">
        <v>10</v>
      </c>
      <c r="B11" s="1" t="s">
        <v>9</v>
      </c>
      <c r="C11">
        <v>2023</v>
      </c>
      <c r="D11" s="1" t="s">
        <v>8</v>
      </c>
    </row>
    <row r="12" spans="1:4" x14ac:dyDescent="0.25">
      <c r="A12">
        <v>11</v>
      </c>
      <c r="B12" s="1" t="s">
        <v>9</v>
      </c>
      <c r="C12">
        <v>2020</v>
      </c>
      <c r="D12" s="1" t="s">
        <v>5</v>
      </c>
    </row>
    <row r="13" spans="1:4" x14ac:dyDescent="0.25">
      <c r="A13">
        <v>12</v>
      </c>
      <c r="B13" s="1" t="s">
        <v>6</v>
      </c>
      <c r="C13">
        <v>2022</v>
      </c>
      <c r="D13" s="1" t="s">
        <v>7</v>
      </c>
    </row>
    <row r="14" spans="1:4" x14ac:dyDescent="0.25">
      <c r="A14">
        <v>13</v>
      </c>
      <c r="B14" s="1" t="s">
        <v>9</v>
      </c>
      <c r="C14">
        <v>2024</v>
      </c>
      <c r="D14" s="1" t="s">
        <v>7</v>
      </c>
    </row>
    <row r="15" spans="1:4" x14ac:dyDescent="0.25">
      <c r="A15">
        <v>14</v>
      </c>
      <c r="B15" s="1" t="s">
        <v>4</v>
      </c>
      <c r="C15">
        <v>2018</v>
      </c>
      <c r="D15" s="1" t="s">
        <v>7</v>
      </c>
    </row>
    <row r="16" spans="1:4" x14ac:dyDescent="0.25">
      <c r="A16">
        <v>15</v>
      </c>
      <c r="B16" s="1" t="s">
        <v>9</v>
      </c>
      <c r="C16">
        <v>2020</v>
      </c>
      <c r="D16" s="1" t="s">
        <v>7</v>
      </c>
    </row>
    <row r="17" spans="1:4" x14ac:dyDescent="0.25">
      <c r="A17">
        <v>16</v>
      </c>
      <c r="B17" s="1" t="s">
        <v>4</v>
      </c>
      <c r="C17">
        <v>2018</v>
      </c>
      <c r="D17" s="1" t="s">
        <v>5</v>
      </c>
    </row>
    <row r="18" spans="1:4" x14ac:dyDescent="0.25">
      <c r="A18">
        <v>17</v>
      </c>
      <c r="B18" s="1" t="s">
        <v>4</v>
      </c>
      <c r="C18">
        <v>2020</v>
      </c>
      <c r="D18" s="1" t="s">
        <v>7</v>
      </c>
    </row>
    <row r="19" spans="1:4" x14ac:dyDescent="0.25">
      <c r="A19">
        <v>18</v>
      </c>
      <c r="B19" s="1" t="s">
        <v>4</v>
      </c>
      <c r="C19">
        <v>2022</v>
      </c>
      <c r="D19" s="1" t="s">
        <v>7</v>
      </c>
    </row>
    <row r="20" spans="1:4" x14ac:dyDescent="0.25">
      <c r="A20">
        <v>19</v>
      </c>
      <c r="B20" s="1" t="s">
        <v>4</v>
      </c>
      <c r="C20">
        <v>2021</v>
      </c>
      <c r="D20" s="1" t="s">
        <v>7</v>
      </c>
    </row>
    <row r="21" spans="1:4" x14ac:dyDescent="0.25">
      <c r="A21">
        <v>20</v>
      </c>
      <c r="B21" s="1" t="s">
        <v>4</v>
      </c>
      <c r="C21">
        <v>2019</v>
      </c>
      <c r="D21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884160-5229-409B-926E-0CC91C985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Scalanie2</vt:lpstr>
      <vt:lpstr>Arkusz2</vt:lpstr>
      <vt:lpstr>users</vt:lpstr>
      <vt:lpstr>stations</vt:lpstr>
      <vt:lpstr>rides</vt:lpstr>
      <vt:lpstr>payments</vt:lpstr>
      <vt:lpstr>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Szeliga</dc:creator>
  <cp:lastModifiedBy>Piotr Szeliga</cp:lastModifiedBy>
  <dcterms:created xsi:type="dcterms:W3CDTF">2026-04-16T22:22:00Z</dcterms:created>
  <dcterms:modified xsi:type="dcterms:W3CDTF">2026-04-17T00:02:43Z</dcterms:modified>
</cp:coreProperties>
</file>