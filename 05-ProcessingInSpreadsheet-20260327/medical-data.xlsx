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-A121-19.CAMPUS\Desktop\pvd\05-ProcessingInSpreadsheet-20260327\"/>
    </mc:Choice>
  </mc:AlternateContent>
  <xr:revisionPtr revIDLastSave="0" documentId="13_ncr:1_{B71CE7F2-6C91-4428-B0EB-2F902665ADF1}" xr6:coauthVersionLast="47" xr6:coauthVersionMax="47" xr10:uidLastSave="{00000000-0000-0000-0000-000000000000}"/>
  <bookViews>
    <workbookView xWindow="0" yWindow="0" windowWidth="19695" windowHeight="15600" firstSheet="1" activeTab="1" xr2:uid="{00000000-000D-0000-FFFF-FFFF00000000}"/>
  </bookViews>
  <sheets>
    <sheet name="medical-data (4)" sheetId="5" r:id="rId1"/>
    <sheet name="medical-data (3)" sheetId="4" r:id="rId2"/>
    <sheet name="medical-data (2)" sheetId="3" r:id="rId3"/>
    <sheet name="medical-data" sheetId="2" r:id="rId4"/>
    <sheet name="data" sheetId="1" r:id="rId5"/>
  </sheets>
  <definedNames>
    <definedName name="_xlchart.v1.0" hidden="1">'medical-data (3)'!$H$1</definedName>
    <definedName name="_xlchart.v1.1" hidden="1">'medical-data (3)'!$H$2:$H$101</definedName>
    <definedName name="_xlchart.v1.10" hidden="1">'medical-data (2)'!$B$1</definedName>
    <definedName name="_xlchart.v1.11" hidden="1">'medical-data (2)'!$B$2:$B$101</definedName>
    <definedName name="_xlchart.v1.2" hidden="1">'medical-data (3)'!$H$1</definedName>
    <definedName name="_xlchart.v1.3" hidden="1">'medical-data (3)'!$H$2:$H$101</definedName>
    <definedName name="_xlchart.v1.4" hidden="1">'medical-data (2)'!$B$1</definedName>
    <definedName name="_xlchart.v1.5" hidden="1">'medical-data (2)'!$B$2:$B$101</definedName>
    <definedName name="_xlchart.v1.6" hidden="1">'medical-data (2)'!$B$1</definedName>
    <definedName name="_xlchart.v1.7" hidden="1">'medical-data (2)'!$B$2:$B$101</definedName>
    <definedName name="_xlchart.v1.8" hidden="1">'medical-data (2)'!$B$1</definedName>
    <definedName name="_xlchart.v1.9" hidden="1">'medical-data (2)'!$B$2:$B$101</definedName>
    <definedName name="ExternalData_1" localSheetId="3" hidden="1">'medical-data'!$A$1:$G$101</definedName>
    <definedName name="ExternalData_2" localSheetId="2" hidden="1">'medical-data (2)'!$A$1:$E$101</definedName>
    <definedName name="ExternalData_3" localSheetId="1" hidden="1">'medical-data (3)'!$A$1:$H$101</definedName>
    <definedName name="ExternalData_4" localSheetId="0" hidden="1">'medical-data (4)'!$A$1:$B$5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I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C7F622-6D0E-4E72-AF20-00936F167BFE}" keepAlive="1" name="Zapytanie — medical-data" description="Połączenie z zapytaniem „medical-data” w skoroszycie." type="5" refreshedVersion="8" background="1" saveData="1">
    <dbPr connection="Provider=Microsoft.Mashup.OleDb.1;Data Source=$Workbook$;Location=medical-data;Extended Properties=&quot;&quot;" command="SELECT * FROM [medical-data]"/>
  </connection>
  <connection id="2" xr16:uid="{C3029226-D0D0-4290-9029-C2BE92CC5031}" keepAlive="1" name="Zapytanie — medical-data (2)" description="Połączenie z zapytaniem „medical-data (2)” w skoroszycie." type="5" refreshedVersion="8" background="1" saveData="1">
    <dbPr connection="Provider=Microsoft.Mashup.OleDb.1;Data Source=$Workbook$;Location=&quot;medical-data (2)&quot;;Extended Properties=&quot;&quot;" command="SELECT * FROM [medical-data (2)]"/>
  </connection>
  <connection id="3" xr16:uid="{52276916-208E-4A7F-99F3-6517229BFB61}" keepAlive="1" name="Zapytanie — medical-data (3)" description="Połączenie z zapytaniem „medical-data (3)” w skoroszycie." type="5" refreshedVersion="8" background="1" saveData="1">
    <dbPr connection="Provider=Microsoft.Mashup.OleDb.1;Data Source=$Workbook$;Location=&quot;medical-data (3)&quot;;Extended Properties=&quot;&quot;" command="SELECT * FROM [medical-data (3)]"/>
  </connection>
  <connection id="4" xr16:uid="{42125232-750F-4CBA-AA02-44BAED223A71}" keepAlive="1" name="Zapytanie — medical-data (4)" description="Połączenie z zapytaniem „medical-data (4)” w skoroszycie." type="5" refreshedVersion="8" background="1" saveData="1">
    <dbPr connection="Provider=Microsoft.Mashup.OleDb.1;Data Source=$Workbook$;Location=&quot;medical-data (4)&quot;;Extended Properties=&quot;&quot;" command="SELECT * FROM [medical-data (4)]"/>
  </connection>
</connections>
</file>

<file path=xl/sharedStrings.xml><?xml version="1.0" encoding="utf-8"?>
<sst xmlns="http://schemas.openxmlformats.org/spreadsheetml/2006/main" count="1480" uniqueCount="424">
  <si>
    <t>first_name</t>
  </si>
  <si>
    <t>last_name</t>
  </si>
  <si>
    <t>gender</t>
  </si>
  <si>
    <t>age</t>
  </si>
  <si>
    <t>height</t>
  </si>
  <si>
    <t>wage</t>
  </si>
  <si>
    <t>country</t>
  </si>
  <si>
    <t>Bailie</t>
  </si>
  <si>
    <t>Marzelli</t>
  </si>
  <si>
    <t>Male</t>
  </si>
  <si>
    <t>Germany</t>
  </si>
  <si>
    <t>Johanna</t>
  </si>
  <si>
    <t>Van Baaren</t>
  </si>
  <si>
    <t>Female</t>
  </si>
  <si>
    <t>Poland</t>
  </si>
  <si>
    <t>Mickie</t>
  </si>
  <si>
    <t>O'Leagham</t>
  </si>
  <si>
    <t>Hungary</t>
  </si>
  <si>
    <t>Cathrine</t>
  </si>
  <si>
    <t>Allso</t>
  </si>
  <si>
    <t>Carmella</t>
  </si>
  <si>
    <t>Sawdon</t>
  </si>
  <si>
    <t>Slovakia</t>
  </si>
  <si>
    <t>Lindi</t>
  </si>
  <si>
    <t>Valentelli</t>
  </si>
  <si>
    <t>Demetrius</t>
  </si>
  <si>
    <t>Philipp</t>
  </si>
  <si>
    <t>Johannes</t>
  </si>
  <si>
    <t>Davidai</t>
  </si>
  <si>
    <t>Cam</t>
  </si>
  <si>
    <t>Ferrey</t>
  </si>
  <si>
    <t>Vonny</t>
  </si>
  <si>
    <t>Wrey</t>
  </si>
  <si>
    <t>Ermina</t>
  </si>
  <si>
    <t>Chillingsworth</t>
  </si>
  <si>
    <t>Bear</t>
  </si>
  <si>
    <t>Enterle</t>
  </si>
  <si>
    <t>Lorie</t>
  </si>
  <si>
    <t>Yurivtsev</t>
  </si>
  <si>
    <t>Briney</t>
  </si>
  <si>
    <t>Zottoli</t>
  </si>
  <si>
    <t>Zonda</t>
  </si>
  <si>
    <t>Tetford</t>
  </si>
  <si>
    <t>Cristi</t>
  </si>
  <si>
    <t>Crush</t>
  </si>
  <si>
    <t>Patricia</t>
  </si>
  <si>
    <t>Bloxam</t>
  </si>
  <si>
    <t>Yoko</t>
  </si>
  <si>
    <t>Rangall</t>
  </si>
  <si>
    <t>Sax</t>
  </si>
  <si>
    <t>Baswall</t>
  </si>
  <si>
    <t>Madlen</t>
  </si>
  <si>
    <t>Crumbleholme</t>
  </si>
  <si>
    <t>Wendell</t>
  </si>
  <si>
    <t>Leadbitter</t>
  </si>
  <si>
    <t>Basilius</t>
  </si>
  <si>
    <t>Shatliff</t>
  </si>
  <si>
    <t>Phillis</t>
  </si>
  <si>
    <t>Armes</t>
  </si>
  <si>
    <t>Skelly</t>
  </si>
  <si>
    <t>Colmore</t>
  </si>
  <si>
    <t>Em</t>
  </si>
  <si>
    <t>Mathews</t>
  </si>
  <si>
    <t>Dion</t>
  </si>
  <si>
    <t>Maryon</t>
  </si>
  <si>
    <t>Albertina</t>
  </si>
  <si>
    <t>Siviour</t>
  </si>
  <si>
    <t>Austina</t>
  </si>
  <si>
    <t>Croney</t>
  </si>
  <si>
    <t>Skip</t>
  </si>
  <si>
    <t>Ingleton</t>
  </si>
  <si>
    <t>Wilona</t>
  </si>
  <si>
    <t>Trouel</t>
  </si>
  <si>
    <t>Jule</t>
  </si>
  <si>
    <t>Sulland</t>
  </si>
  <si>
    <t>Ariana</t>
  </si>
  <si>
    <t>Tampin</t>
  </si>
  <si>
    <t>Winfield</t>
  </si>
  <si>
    <t>Fenn</t>
  </si>
  <si>
    <t>Joya</t>
  </si>
  <si>
    <t>Dallicott</t>
  </si>
  <si>
    <t>Jorie</t>
  </si>
  <si>
    <t>Meegan</t>
  </si>
  <si>
    <t>Sunny</t>
  </si>
  <si>
    <t>Levin</t>
  </si>
  <si>
    <t>Erhart</t>
  </si>
  <si>
    <t>Meriot</t>
  </si>
  <si>
    <t>Wolfy</t>
  </si>
  <si>
    <t>Quigg</t>
  </si>
  <si>
    <t>Christie</t>
  </si>
  <si>
    <t>Ritchings</t>
  </si>
  <si>
    <t>Lettie</t>
  </si>
  <si>
    <t>Hearmon</t>
  </si>
  <si>
    <t>Janifer</t>
  </si>
  <si>
    <t>Tann</t>
  </si>
  <si>
    <t>Pooh</t>
  </si>
  <si>
    <t>Tomaszewski</t>
  </si>
  <si>
    <t>Nataniel</t>
  </si>
  <si>
    <t>Diemer</t>
  </si>
  <si>
    <t>Yance</t>
  </si>
  <si>
    <t>Wivell</t>
  </si>
  <si>
    <t>Pierson</t>
  </si>
  <si>
    <t>Ingledow</t>
  </si>
  <si>
    <t>Carolin</t>
  </si>
  <si>
    <t>Dunkirk</t>
  </si>
  <si>
    <t>Liam</t>
  </si>
  <si>
    <t>Azemar</t>
  </si>
  <si>
    <t>Alain</t>
  </si>
  <si>
    <t>McGing</t>
  </si>
  <si>
    <t>Drake</t>
  </si>
  <si>
    <t>Mannering</t>
  </si>
  <si>
    <t>Cullie</t>
  </si>
  <si>
    <t>Roskelley</t>
  </si>
  <si>
    <t>Saundra</t>
  </si>
  <si>
    <t>Ledwith</t>
  </si>
  <si>
    <t>Dall</t>
  </si>
  <si>
    <t>Gerger</t>
  </si>
  <si>
    <t>Braden</t>
  </si>
  <si>
    <t>Corish</t>
  </si>
  <si>
    <t>Enrique</t>
  </si>
  <si>
    <t>Matsell</t>
  </si>
  <si>
    <t>Joshuah</t>
  </si>
  <si>
    <t>Cridlin</t>
  </si>
  <si>
    <t>Jozef</t>
  </si>
  <si>
    <t>Gooday</t>
  </si>
  <si>
    <t>Corette</t>
  </si>
  <si>
    <t>Hayne</t>
  </si>
  <si>
    <t>Garry</t>
  </si>
  <si>
    <t>Hulkes</t>
  </si>
  <si>
    <t>Shem</t>
  </si>
  <si>
    <t>Elam</t>
  </si>
  <si>
    <t>Terry</t>
  </si>
  <si>
    <t>Vedenisov</t>
  </si>
  <si>
    <t>Zoe</t>
  </si>
  <si>
    <t>Amys</t>
  </si>
  <si>
    <t>Blaine</t>
  </si>
  <si>
    <t>Andersen</t>
  </si>
  <si>
    <t>Chicky</t>
  </si>
  <si>
    <t>Jolliff</t>
  </si>
  <si>
    <t>Kinnie</t>
  </si>
  <si>
    <t>Gallehawk</t>
  </si>
  <si>
    <t>Sybila</t>
  </si>
  <si>
    <t>Guerry</t>
  </si>
  <si>
    <t>Ivory</t>
  </si>
  <si>
    <t>Blackborough</t>
  </si>
  <si>
    <t>Dannie</t>
  </si>
  <si>
    <t>Flea</t>
  </si>
  <si>
    <t>Dukey</t>
  </si>
  <si>
    <t>Willatts</t>
  </si>
  <si>
    <t>Hendrika</t>
  </si>
  <si>
    <t>Sysland</t>
  </si>
  <si>
    <t>Hunt</t>
  </si>
  <si>
    <t>Klee</t>
  </si>
  <si>
    <t>Gorden</t>
  </si>
  <si>
    <t>Rucklidge</t>
  </si>
  <si>
    <t>Thorpe</t>
  </si>
  <si>
    <t>Teall</t>
  </si>
  <si>
    <t>Brandais</t>
  </si>
  <si>
    <t>Accum</t>
  </si>
  <si>
    <t>Ernesto</t>
  </si>
  <si>
    <t>Lancashire</t>
  </si>
  <si>
    <t>Jodi</t>
  </si>
  <si>
    <t>Rudiger</t>
  </si>
  <si>
    <t>Vera</t>
  </si>
  <si>
    <t>McGorley</t>
  </si>
  <si>
    <t>Carol</t>
  </si>
  <si>
    <t>Dalziell</t>
  </si>
  <si>
    <t>Taber</t>
  </si>
  <si>
    <t>Kupper</t>
  </si>
  <si>
    <t>Terrijo</t>
  </si>
  <si>
    <t>Guise</t>
  </si>
  <si>
    <t>Tobiah</t>
  </si>
  <si>
    <t>Claeskens</t>
  </si>
  <si>
    <t>Grantley</t>
  </si>
  <si>
    <t>Roux</t>
  </si>
  <si>
    <t>Whittaker</t>
  </si>
  <si>
    <t>Shipsey</t>
  </si>
  <si>
    <t>Augie</t>
  </si>
  <si>
    <t>Harkin</t>
  </si>
  <si>
    <t>Rriocard</t>
  </si>
  <si>
    <t>Shelp</t>
  </si>
  <si>
    <t>Chas</t>
  </si>
  <si>
    <t>Cacacie</t>
  </si>
  <si>
    <t>Karine</t>
  </si>
  <si>
    <t>Domange</t>
  </si>
  <si>
    <t>Lilian</t>
  </si>
  <si>
    <t>Maddison</t>
  </si>
  <si>
    <t>Honor</t>
  </si>
  <si>
    <t>Rosie</t>
  </si>
  <si>
    <t>Walden</t>
  </si>
  <si>
    <t>Handford</t>
  </si>
  <si>
    <t>Siward</t>
  </si>
  <si>
    <t>Hambribe</t>
  </si>
  <si>
    <t>Salomone</t>
  </si>
  <si>
    <t>Zorzi</t>
  </si>
  <si>
    <t>Kylen</t>
  </si>
  <si>
    <t>Matfield</t>
  </si>
  <si>
    <t>Arther</t>
  </si>
  <si>
    <t>Bromilow</t>
  </si>
  <si>
    <t>Clywd</t>
  </si>
  <si>
    <t>Cummins</t>
  </si>
  <si>
    <t>Kyle</t>
  </si>
  <si>
    <t>Hyndman</t>
  </si>
  <si>
    <t>Galvin</t>
  </si>
  <si>
    <t>Coudray</t>
  </si>
  <si>
    <t>Tersina</t>
  </si>
  <si>
    <t>Escofier</t>
  </si>
  <si>
    <t>Jasmina</t>
  </si>
  <si>
    <t>Clayal</t>
  </si>
  <si>
    <t>Yehudi</t>
  </si>
  <si>
    <t>Moultrie</t>
  </si>
  <si>
    <t>Rusty</t>
  </si>
  <si>
    <t>Pifford</t>
  </si>
  <si>
    <t>Suma</t>
  </si>
  <si>
    <t>Liczba z gender</t>
  </si>
  <si>
    <t>Etykiety wierszy</t>
  </si>
  <si>
    <t>Suma końcowa</t>
  </si>
  <si>
    <t>Liczba z country</t>
  </si>
  <si>
    <t>Maksimum z height</t>
  </si>
  <si>
    <t>bmi</t>
  </si>
  <si>
    <t>Etykiety kolumn</t>
  </si>
  <si>
    <t>height (m)</t>
  </si>
  <si>
    <t>Średnia z bmi</t>
  </si>
  <si>
    <t>Liczba z bmi</t>
  </si>
  <si>
    <t>Średnia z wage</t>
  </si>
  <si>
    <t>Riordan</t>
  </si>
  <si>
    <t>Ranyard</t>
  </si>
  <si>
    <t>Pauly</t>
  </si>
  <si>
    <t>Luckey</t>
  </si>
  <si>
    <t>Waylen</t>
  </si>
  <si>
    <t>Hast</t>
  </si>
  <si>
    <t>Emmye</t>
  </si>
  <si>
    <t>Kamen</t>
  </si>
  <si>
    <t>Michal</t>
  </si>
  <si>
    <t>Manis</t>
  </si>
  <si>
    <t>Yolane</t>
  </si>
  <si>
    <t>Loadman</t>
  </si>
  <si>
    <t>Sylvester</t>
  </si>
  <si>
    <t>Bark</t>
  </si>
  <si>
    <t>Maurie</t>
  </si>
  <si>
    <t>Tingley</t>
  </si>
  <si>
    <t>Camile</t>
  </si>
  <si>
    <t>McIlwrath</t>
  </si>
  <si>
    <t>Douglass</t>
  </si>
  <si>
    <t>Benettolo</t>
  </si>
  <si>
    <t>Gui</t>
  </si>
  <si>
    <t>Angove</t>
  </si>
  <si>
    <t>Daven</t>
  </si>
  <si>
    <t>Munnery</t>
  </si>
  <si>
    <t>Phyllys</t>
  </si>
  <si>
    <t>Gownge</t>
  </si>
  <si>
    <t>Thomasa</t>
  </si>
  <si>
    <t>Biasioli</t>
  </si>
  <si>
    <t>Hillie</t>
  </si>
  <si>
    <t>Durtnal</t>
  </si>
  <si>
    <t>Cordie</t>
  </si>
  <si>
    <t>Castiglio</t>
  </si>
  <si>
    <t>Kathrine</t>
  </si>
  <si>
    <t>Doxey</t>
  </si>
  <si>
    <t>Rodolphe</t>
  </si>
  <si>
    <t>Ruddin</t>
  </si>
  <si>
    <t>Blanch</t>
  </si>
  <si>
    <t>Vasile</t>
  </si>
  <si>
    <t>Herman</t>
  </si>
  <si>
    <t>Foster</t>
  </si>
  <si>
    <t>Lancelot</t>
  </si>
  <si>
    <t>Borge</t>
  </si>
  <si>
    <t>Xylia</t>
  </si>
  <si>
    <t>Ogden</t>
  </si>
  <si>
    <t>Seth</t>
  </si>
  <si>
    <t>Maiga</t>
  </si>
  <si>
    <t>McKeady</t>
  </si>
  <si>
    <t>Salomi</t>
  </si>
  <si>
    <t>Beneix</t>
  </si>
  <si>
    <t>Diarmid</t>
  </si>
  <si>
    <t>Tabert</t>
  </si>
  <si>
    <t>Salvatore</t>
  </si>
  <si>
    <t>Benoix</t>
  </si>
  <si>
    <t>Yovonnda</t>
  </si>
  <si>
    <t>Rogge</t>
  </si>
  <si>
    <t>Daisy</t>
  </si>
  <si>
    <t>Benian</t>
  </si>
  <si>
    <t>Harris</t>
  </si>
  <si>
    <t>Rihosek</t>
  </si>
  <si>
    <t>Kiel</t>
  </si>
  <si>
    <t>Fidal</t>
  </si>
  <si>
    <t>Basil</t>
  </si>
  <si>
    <t>Guerreiro</t>
  </si>
  <si>
    <t>Jeniece</t>
  </si>
  <si>
    <t>Guisler</t>
  </si>
  <si>
    <t>Roxanne</t>
  </si>
  <si>
    <t>Landrieu</t>
  </si>
  <si>
    <t>Vikki</t>
  </si>
  <si>
    <t>Quelch</t>
  </si>
  <si>
    <t>Luce</t>
  </si>
  <si>
    <t>Lidgate</t>
  </si>
  <si>
    <t>Idette</t>
  </si>
  <si>
    <t>Feldfisher</t>
  </si>
  <si>
    <t>Stearne</t>
  </si>
  <si>
    <t>Learmond</t>
  </si>
  <si>
    <t>Lori</t>
  </si>
  <si>
    <t>De Filippis</t>
  </si>
  <si>
    <t>Langsdon</t>
  </si>
  <si>
    <t>Habard</t>
  </si>
  <si>
    <t>Huey</t>
  </si>
  <si>
    <t>Sloane</t>
  </si>
  <si>
    <t>Cicely</t>
  </si>
  <si>
    <t>Branscombe</t>
  </si>
  <si>
    <t>Hakeem</t>
  </si>
  <si>
    <t>Filip</t>
  </si>
  <si>
    <t>Beverlie</t>
  </si>
  <si>
    <t>Babe</t>
  </si>
  <si>
    <t>Muhammad</t>
  </si>
  <si>
    <t>Wade</t>
  </si>
  <si>
    <t>Cathryn</t>
  </si>
  <si>
    <t>Glynn</t>
  </si>
  <si>
    <t>Dianne</t>
  </si>
  <si>
    <t>Dightham</t>
  </si>
  <si>
    <t>Garfield</t>
  </si>
  <si>
    <t>Folds</t>
  </si>
  <si>
    <t>Emily</t>
  </si>
  <si>
    <t>Winterton</t>
  </si>
  <si>
    <t>Lanette</t>
  </si>
  <si>
    <t>Barfield</t>
  </si>
  <si>
    <t>Fairlie</t>
  </si>
  <si>
    <t>Tromans</t>
  </si>
  <si>
    <t>Brigg</t>
  </si>
  <si>
    <t>Luney</t>
  </si>
  <si>
    <t>Kathe</t>
  </si>
  <si>
    <t>Burriss</t>
  </si>
  <si>
    <t>Shea</t>
  </si>
  <si>
    <t>Byles</t>
  </si>
  <si>
    <t>Piggy</t>
  </si>
  <si>
    <t>Pryer</t>
  </si>
  <si>
    <t>Humberto</t>
  </si>
  <si>
    <t>Vernalls</t>
  </si>
  <si>
    <t>Cary</t>
  </si>
  <si>
    <t>Fittis</t>
  </si>
  <si>
    <t>Janice</t>
  </si>
  <si>
    <t>Holburn</t>
  </si>
  <si>
    <t>Trefor</t>
  </si>
  <si>
    <t>Dallon</t>
  </si>
  <si>
    <t>Isadora</t>
  </si>
  <si>
    <t>Narbett</t>
  </si>
  <si>
    <t>Zeke</t>
  </si>
  <si>
    <t>MacGhee</t>
  </si>
  <si>
    <t>Chiquia</t>
  </si>
  <si>
    <t>Hattoe</t>
  </si>
  <si>
    <t>Henri</t>
  </si>
  <si>
    <t>Bason</t>
  </si>
  <si>
    <t>Michaela</t>
  </si>
  <si>
    <t>Bigglestone</t>
  </si>
  <si>
    <t>Star</t>
  </si>
  <si>
    <t>Dieton</t>
  </si>
  <si>
    <t>Ronna</t>
  </si>
  <si>
    <t>Baraja</t>
  </si>
  <si>
    <t>Hazlett</t>
  </si>
  <si>
    <t>Coultar</t>
  </si>
  <si>
    <t>Morganne</t>
  </si>
  <si>
    <t>Boller</t>
  </si>
  <si>
    <t>Francis</t>
  </si>
  <si>
    <t>Josefer</t>
  </si>
  <si>
    <t>Woodie</t>
  </si>
  <si>
    <t>Spraberry</t>
  </si>
  <si>
    <t>Letitia</t>
  </si>
  <si>
    <t>Koba</t>
  </si>
  <si>
    <t>Ross</t>
  </si>
  <si>
    <t>Warner</t>
  </si>
  <si>
    <t>Iorgo</t>
  </si>
  <si>
    <t>Roistone</t>
  </si>
  <si>
    <t>Melva</t>
  </si>
  <si>
    <t>McKibbin</t>
  </si>
  <si>
    <t>Sky</t>
  </si>
  <si>
    <t>Copping</t>
  </si>
  <si>
    <t>Rooney</t>
  </si>
  <si>
    <t>Will</t>
  </si>
  <si>
    <t>Doralia</t>
  </si>
  <si>
    <t>Parmiter</t>
  </si>
  <si>
    <t>Cory</t>
  </si>
  <si>
    <t>Grzelczyk</t>
  </si>
  <si>
    <t>Law</t>
  </si>
  <si>
    <t>Cohen</t>
  </si>
  <si>
    <t>Farly</t>
  </si>
  <si>
    <t>Dorant</t>
  </si>
  <si>
    <t>Dietrich</t>
  </si>
  <si>
    <t>Stoyle</t>
  </si>
  <si>
    <t>Bealle</t>
  </si>
  <si>
    <t>Enric</t>
  </si>
  <si>
    <t>Horatius</t>
  </si>
  <si>
    <t>Juana</t>
  </si>
  <si>
    <t>Prest</t>
  </si>
  <si>
    <t>Mattheus</t>
  </si>
  <si>
    <t>Leither</t>
  </si>
  <si>
    <t>Starlene</t>
  </si>
  <si>
    <t>Habbema</t>
  </si>
  <si>
    <t>Lalo</t>
  </si>
  <si>
    <t>Slowly</t>
  </si>
  <si>
    <t>Clive</t>
  </si>
  <si>
    <t>Pepin</t>
  </si>
  <si>
    <t>Orson</t>
  </si>
  <si>
    <t>Dykas</t>
  </si>
  <si>
    <t>Lorette</t>
  </si>
  <si>
    <t>Crain</t>
  </si>
  <si>
    <t>Janean</t>
  </si>
  <si>
    <t>Linn</t>
  </si>
  <si>
    <t>Selena</t>
  </si>
  <si>
    <t>Gilkes</t>
  </si>
  <si>
    <t>Doria</t>
  </si>
  <si>
    <t>Prangley</t>
  </si>
  <si>
    <t>Thorvald</t>
  </si>
  <si>
    <t>Darinton</t>
  </si>
  <si>
    <t>Lorry</t>
  </si>
  <si>
    <t>Burles</t>
  </si>
  <si>
    <t>Masha</t>
  </si>
  <si>
    <t>Camble</t>
  </si>
  <si>
    <t>Kaylyn</t>
  </si>
  <si>
    <t>Simmings</t>
  </si>
  <si>
    <t>Heddi</t>
  </si>
  <si>
    <t>Wanklin</t>
  </si>
  <si>
    <t>Osbourn</t>
  </si>
  <si>
    <t>Conman</t>
  </si>
  <si>
    <t>Hi</t>
  </si>
  <si>
    <t>Peaseman</t>
  </si>
  <si>
    <t>Liczność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</si>
</sst>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name val="Arial"/>
      <family val="1"/>
    </font>
    <font>
      <sz val="8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2">
    <cellStyle name="Normal" xfId="1" xr:uid="{00000000-0005-0000-0000-000000000000}"/>
    <cellStyle name="Normalny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'medical-data (4)'!$B$1</c:f>
              <c:strCache>
                <c:ptCount val="1"/>
                <c:pt idx="0">
                  <c:v>Liczność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'medical-data (4)'!$A$2:$A$5</c:f>
              <c:strCache>
                <c:ptCount val="4"/>
                <c:pt idx="0">
                  <c:v>Slovakia</c:v>
                </c:pt>
                <c:pt idx="1">
                  <c:v>Germany</c:v>
                </c:pt>
                <c:pt idx="2">
                  <c:v>Hungary</c:v>
                </c:pt>
                <c:pt idx="3">
                  <c:v>Poland</c:v>
                </c:pt>
              </c:strCache>
            </c:strRef>
          </c:cat>
          <c:val>
            <c:numRef>
              <c:f>'medical-data (4)'!$B$2:$B$5</c:f>
              <c:numCache>
                <c:formatCode>General</c:formatCode>
                <c:ptCount val="4"/>
                <c:pt idx="0">
                  <c:v>24</c:v>
                </c:pt>
                <c:pt idx="1">
                  <c:v>32</c:v>
                </c:pt>
                <c:pt idx="2">
                  <c:v>26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3-4095-8C76-1F3AA06E2F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bmi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bmi</a:t>
          </a:r>
        </a:p>
      </cx:txPr>
    </cx:title>
    <cx:plotArea>
      <cx:plotAreaRegion>
        <cx:series layoutId="clusteredColumn" uniqueId="{7C558602-6487-4E10-B130-056989149628}">
          <cx:tx>
            <cx:txData>
              <cx:f>_xlchart.v1.0</cx:f>
              <cx:v>bmi</cx:v>
            </cx:txData>
          </cx:tx>
          <cx:dataId val="0"/>
          <cx:layoutPr>
            <cx:binning intervalClosed="r" underflow="18" overflow="25">
              <cx:binCount val="3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/>
    <cx:plotArea>
      <cx:plotAreaRegion>
        <cx:series layoutId="clusteredColumn" uniqueId="{5E30F129-B662-47D1-99E8-F8892D36730D}">
          <cx:tx>
            <cx:txData>
              <cx:f>_xlchart.v1.10</cx:f>
              <cx:v>age</cx:v>
            </cx:txData>
          </cx:tx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12</xdr:row>
      <xdr:rowOff>9525</xdr:rowOff>
    </xdr:from>
    <xdr:to>
      <xdr:col>9</xdr:col>
      <xdr:colOff>276225</xdr:colOff>
      <xdr:row>27</xdr:row>
      <xdr:rowOff>38100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CCDBE92-77F8-A941-FEEC-C9D8B5323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103</xdr:row>
      <xdr:rowOff>0</xdr:rowOff>
    </xdr:from>
    <xdr:to>
      <xdr:col>8</xdr:col>
      <xdr:colOff>161925</xdr:colOff>
      <xdr:row>118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Wykres 2">
              <a:extLst>
                <a:ext uri="{FF2B5EF4-FFF2-40B4-BE49-F238E27FC236}">
                  <a16:creationId xmlns:a16="http://schemas.microsoft.com/office/drawing/2014/main" id="{EDD20830-38B1-1365-5E5E-344CBE606B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50" y="186404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75</xdr:row>
      <xdr:rowOff>85725</xdr:rowOff>
    </xdr:from>
    <xdr:to>
      <xdr:col>12</xdr:col>
      <xdr:colOff>352425</xdr:colOff>
      <xdr:row>90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Wykres 2">
              <a:extLst>
                <a:ext uri="{FF2B5EF4-FFF2-40B4-BE49-F238E27FC236}">
                  <a16:creationId xmlns:a16="http://schemas.microsoft.com/office/drawing/2014/main" id="{0F11B0B5-5660-BEC2-E290-F467BDF4F6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95700" y="13658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SetupInstall" refreshedDate="46108.483077430552" createdVersion="8" refreshedVersion="8" minRefreshableVersion="3" recordCount="100" xr:uid="{43EEB573-7AB5-432E-A6CD-BE89B5005EE3}">
  <cacheSource type="worksheet">
    <worksheetSource name="Tabela1"/>
  </cacheSource>
  <cacheFields count="9">
    <cacheField name="first_name" numFmtId="0">
      <sharedItems/>
    </cacheField>
    <cacheField name="last_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0"/>
    </cacheField>
    <cacheField name="height" numFmtId="0">
      <sharedItems containsSemiMixedTypes="0" containsString="0" containsNumber="1" containsInteger="1" minValue="155" maxValue="197"/>
    </cacheField>
    <cacheField name="wage" numFmtId="0">
      <sharedItems containsSemiMixedTypes="0" containsString="0" containsNumber="1" containsInteger="1" minValue="50" maxValue="120"/>
    </cacheField>
    <cacheField name="country" numFmtId="0">
      <sharedItems count="4">
        <s v="Germany"/>
        <s v="Poland"/>
        <s v="Hungary"/>
        <s v="Slovakia"/>
      </sharedItems>
    </cacheField>
    <cacheField name="height (m)" numFmtId="0">
      <sharedItems containsSemiMixedTypes="0" containsString="0" containsNumber="1" minValue="1.55" maxValue="1.97"/>
    </cacheField>
    <cacheField name="bmi" numFmtId="0">
      <sharedItems containsSemiMixedTypes="0" containsString="0" containsNumber="1" minValue="13.275718450645565" maxValue="47.668642845697796" count="97">
        <n v="35.701245486632317"/>
        <n v="32.537347215934815"/>
        <n v="20.811654526534856"/>
        <n v="30.73941661933242"/>
        <n v="29.270994027135"/>
        <n v="33.95918367346939"/>
        <n v="23.291229956104985"/>
        <n v="18.467220683287167"/>
        <n v="43.500892325996439"/>
        <n v="32.368549813692653"/>
        <n v="15.396691220867044"/>
        <n v="27.636054421768712"/>
        <n v="17.374452871796585"/>
        <n v="17.006364503079183"/>
        <n v="38.41683884297521"/>
        <n v="32.249395323837675"/>
        <n v="41.015624999999993"/>
        <n v="21.453573713726524"/>
        <n v="25.127830533235937"/>
        <n v="31.634581999151262"/>
        <n v="31.511501698119819"/>
        <n v="30.061278760550348"/>
        <n v="25.165146272412706"/>
        <n v="44.140624999999993"/>
        <n v="37.25364524915878"/>
        <n v="42.060567216792172"/>
        <n v="34.25925925925926"/>
        <n v="19.100091827364558"/>
        <n v="28.08626864902471"/>
        <n v="32.660763536072004"/>
        <n v="14.056643065389423"/>
        <n v="27.639801313892001"/>
        <n v="23.20054323223178"/>
        <n v="22.129739727837229"/>
        <n v="22.308149910767405"/>
        <n v="32.824138366367883"/>
        <n v="29.242108636436463"/>
        <n v="29.717291255752794"/>
        <n v="34.577632361689474"/>
        <n v="16.604274846033086"/>
        <n v="28.906249999999993"/>
        <n v="20.871447344688089"/>
        <n v="28.060018903591683"/>
        <n v="17.441263978660103"/>
        <n v="19.605191995673341"/>
        <n v="21.561909262759922"/>
        <n v="13.275718450645565"/>
        <n v="34.865702479338843"/>
        <n v="34.74890574359317"/>
        <n v="41.873278236914608"/>
        <n v="28.40111107643332"/>
        <n v="23.875114784205696"/>
        <n v="32.690541781450875"/>
        <n v="45.032252829729401"/>
        <n v="31.17913832199547"/>
        <n v="32.051282051282051"/>
        <n v="35.349072086857717"/>
        <n v="25.308641975308639"/>
        <n v="21.256244021681368"/>
        <n v="21.545090797168363"/>
        <n v="28.274684359340444"/>
        <n v="25.432685955872639"/>
        <n v="29.687499999999993"/>
        <n v="42.607897153351701"/>
        <n v="39.950951307305878"/>
        <n v="28.725603371902601"/>
        <n v="17.802104368158147"/>
        <n v="22.600262984878366"/>
        <n v="42.324128862590399"/>
        <n v="16.139108704706373"/>
        <n v="33.145211860610942"/>
        <n v="33.313737017440722"/>
        <n v="24.508945765204302"/>
        <n v="26.298487836949374"/>
        <n v="47.668642845697796"/>
        <n v="27.994736989445986"/>
        <n v="24.021275987303035"/>
        <n v="32.660785690302497"/>
        <n v="43.967784352399732"/>
        <n v="30.461118308182492"/>
        <n v="13.285152513550857"/>
        <n v="31.884366032522056"/>
        <n v="17.619986850756082"/>
        <n v="23.163373273470786"/>
        <n v="29.296874999999993"/>
        <n v="32.314335554348133"/>
        <n v="33.412409368839583"/>
        <n v="18.115412710007302"/>
        <n v="26.588750913075234"/>
        <n v="43.547684714762667"/>
        <n v="33.306122448979593"/>
        <n v="22.437673130193907"/>
        <n v="26.038781163434905"/>
        <n v="27.669270833333336"/>
        <n v="34.331013389095226"/>
        <n v="47.466428658363419"/>
        <n v="20.98765432098765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Bailie"/>
    <s v="Marzelli"/>
    <x v="0"/>
    <n v="32"/>
    <n v="157"/>
    <n v="88"/>
    <x v="0"/>
    <n v="1.57"/>
    <x v="0"/>
  </r>
  <r>
    <s v="Johanna"/>
    <s v="Van Baaren"/>
    <x v="1"/>
    <n v="33"/>
    <n v="188"/>
    <n v="115"/>
    <x v="1"/>
    <n v="1.88"/>
    <x v="1"/>
  </r>
  <r>
    <s v="Mickie"/>
    <s v="O'Leagham"/>
    <x v="0"/>
    <n v="21"/>
    <n v="155"/>
    <n v="50"/>
    <x v="2"/>
    <n v="1.55"/>
    <x v="2"/>
  </r>
  <r>
    <s v="Cathrine"/>
    <s v="Allso"/>
    <x v="1"/>
    <n v="44"/>
    <n v="173"/>
    <n v="92"/>
    <x v="0"/>
    <n v="1.73"/>
    <x v="3"/>
  </r>
  <r>
    <s v="Carmella"/>
    <s v="Sawdon"/>
    <x v="1"/>
    <n v="50"/>
    <n v="159"/>
    <n v="74"/>
    <x v="3"/>
    <n v="1.59"/>
    <x v="4"/>
  </r>
  <r>
    <s v="Lindi"/>
    <s v="Valentelli"/>
    <x v="1"/>
    <n v="52"/>
    <n v="175"/>
    <n v="104"/>
    <x v="2"/>
    <n v="1.75"/>
    <x v="5"/>
  </r>
  <r>
    <s v="Demetrius"/>
    <s v="Philipp"/>
    <x v="0"/>
    <n v="31"/>
    <n v="183"/>
    <n v="78"/>
    <x v="0"/>
    <n v="1.83"/>
    <x v="6"/>
  </r>
  <r>
    <s v="Johannes"/>
    <s v="Davidai"/>
    <x v="0"/>
    <n v="59"/>
    <n v="171"/>
    <n v="54"/>
    <x v="1"/>
    <n v="1.71"/>
    <x v="7"/>
  </r>
  <r>
    <s v="Cam"/>
    <s v="Ferrey"/>
    <x v="0"/>
    <n v="46"/>
    <n v="164"/>
    <n v="117"/>
    <x v="3"/>
    <n v="1.64"/>
    <x v="8"/>
  </r>
  <r>
    <s v="Vonny"/>
    <s v="Wrey"/>
    <x v="1"/>
    <n v="52"/>
    <n v="163"/>
    <n v="86"/>
    <x v="1"/>
    <n v="1.63"/>
    <x v="9"/>
  </r>
  <r>
    <s v="Ermina"/>
    <s v="Chillingsworth"/>
    <x v="1"/>
    <n v="26"/>
    <n v="182"/>
    <n v="51"/>
    <x v="3"/>
    <n v="1.82"/>
    <x v="10"/>
  </r>
  <r>
    <s v="Bear"/>
    <s v="Enterle"/>
    <x v="0"/>
    <n v="40"/>
    <n v="168"/>
    <n v="78"/>
    <x v="3"/>
    <n v="1.68"/>
    <x v="11"/>
  </r>
  <r>
    <s v="Lorie"/>
    <s v="Yurivtsev"/>
    <x v="1"/>
    <n v="39"/>
    <n v="173"/>
    <n v="52"/>
    <x v="0"/>
    <n v="1.73"/>
    <x v="12"/>
  </r>
  <r>
    <s v="Briney"/>
    <s v="Zottoli"/>
    <x v="1"/>
    <n v="36"/>
    <n v="197"/>
    <n v="66"/>
    <x v="2"/>
    <n v="1.97"/>
    <x v="13"/>
  </r>
  <r>
    <s v="Zonda"/>
    <s v="Tetford"/>
    <x v="1"/>
    <n v="33"/>
    <n v="176"/>
    <n v="119"/>
    <x v="0"/>
    <n v="1.76"/>
    <x v="14"/>
  </r>
  <r>
    <s v="Cristi"/>
    <s v="Crush"/>
    <x v="1"/>
    <n v="35"/>
    <n v="183"/>
    <n v="108"/>
    <x v="2"/>
    <n v="1.83"/>
    <x v="15"/>
  </r>
  <r>
    <s v="Patricia"/>
    <s v="Bloxam"/>
    <x v="1"/>
    <n v="20"/>
    <n v="160"/>
    <n v="105"/>
    <x v="1"/>
    <n v="1.6"/>
    <x v="16"/>
  </r>
  <r>
    <s v="Yoko"/>
    <s v="Rangall"/>
    <x v="1"/>
    <n v="60"/>
    <n v="163"/>
    <n v="57"/>
    <x v="3"/>
    <n v="1.63"/>
    <x v="17"/>
  </r>
  <r>
    <s v="Sax"/>
    <s v="Baswall"/>
    <x v="0"/>
    <n v="50"/>
    <n v="185"/>
    <n v="86"/>
    <x v="0"/>
    <n v="1.85"/>
    <x v="18"/>
  </r>
  <r>
    <s v="Madlen"/>
    <s v="Crumbleholme"/>
    <x v="1"/>
    <n v="60"/>
    <n v="161"/>
    <n v="82"/>
    <x v="3"/>
    <n v="1.61"/>
    <x v="19"/>
  </r>
  <r>
    <s v="Wendell"/>
    <s v="Leadbitter"/>
    <x v="0"/>
    <n v="20"/>
    <n v="169"/>
    <n v="90"/>
    <x v="0"/>
    <n v="1.69"/>
    <x v="20"/>
  </r>
  <r>
    <s v="Basilius"/>
    <s v="Shatliff"/>
    <x v="0"/>
    <n v="52"/>
    <n v="186"/>
    <n v="104"/>
    <x v="0"/>
    <n v="1.86"/>
    <x v="21"/>
  </r>
  <r>
    <s v="Phillis"/>
    <s v="Armes"/>
    <x v="1"/>
    <n v="47"/>
    <n v="187"/>
    <n v="88"/>
    <x v="0"/>
    <n v="1.87"/>
    <x v="22"/>
  </r>
  <r>
    <s v="Skelly"/>
    <s v="Colmore"/>
    <x v="0"/>
    <n v="45"/>
    <n v="160"/>
    <n v="113"/>
    <x v="2"/>
    <n v="1.6"/>
    <x v="23"/>
  </r>
  <r>
    <s v="Em"/>
    <s v="Mathews"/>
    <x v="0"/>
    <n v="45"/>
    <n v="158"/>
    <n v="93"/>
    <x v="0"/>
    <n v="1.58"/>
    <x v="24"/>
  </r>
  <r>
    <s v="Dion"/>
    <s v="Maryon"/>
    <x v="0"/>
    <n v="53"/>
    <n v="158"/>
    <n v="105"/>
    <x v="1"/>
    <n v="1.58"/>
    <x v="25"/>
  </r>
  <r>
    <s v="Albertina"/>
    <s v="Siviour"/>
    <x v="1"/>
    <n v="56"/>
    <n v="180"/>
    <n v="111"/>
    <x v="3"/>
    <n v="1.8"/>
    <x v="26"/>
  </r>
  <r>
    <s v="Austina"/>
    <s v="Croney"/>
    <x v="1"/>
    <n v="23"/>
    <n v="165"/>
    <n v="52"/>
    <x v="2"/>
    <n v="1.65"/>
    <x v="27"/>
  </r>
  <r>
    <s v="Skip"/>
    <s v="Ingleton"/>
    <x v="0"/>
    <n v="39"/>
    <n v="197"/>
    <n v="109"/>
    <x v="0"/>
    <n v="1.97"/>
    <x v="28"/>
  </r>
  <r>
    <s v="Wilona"/>
    <s v="Trouel"/>
    <x v="1"/>
    <n v="42"/>
    <n v="166"/>
    <n v="90"/>
    <x v="1"/>
    <n v="1.66"/>
    <x v="29"/>
  </r>
  <r>
    <s v="Jule"/>
    <s v="Sulland"/>
    <x v="0"/>
    <n v="44"/>
    <n v="196"/>
    <n v="54"/>
    <x v="2"/>
    <n v="1.96"/>
    <x v="30"/>
  </r>
  <r>
    <s v="Ariana"/>
    <s v="Tampin"/>
    <x v="1"/>
    <n v="55"/>
    <n v="158"/>
    <n v="69"/>
    <x v="0"/>
    <n v="1.58"/>
    <x v="31"/>
  </r>
  <r>
    <s v="Winfield"/>
    <s v="Fenn"/>
    <x v="0"/>
    <n v="50"/>
    <n v="188"/>
    <n v="82"/>
    <x v="3"/>
    <n v="1.88"/>
    <x v="32"/>
  </r>
  <r>
    <s v="Joya"/>
    <s v="Dallicott"/>
    <x v="1"/>
    <n v="34"/>
    <n v="174"/>
    <n v="67"/>
    <x v="0"/>
    <n v="1.74"/>
    <x v="33"/>
  </r>
  <r>
    <s v="Jorie"/>
    <s v="Meegan"/>
    <x v="1"/>
    <n v="48"/>
    <n v="164"/>
    <n v="60"/>
    <x v="1"/>
    <n v="1.64"/>
    <x v="34"/>
  </r>
  <r>
    <s v="Sunny"/>
    <s v="Levin"/>
    <x v="1"/>
    <n v="41"/>
    <n v="178"/>
    <n v="104"/>
    <x v="0"/>
    <n v="1.78"/>
    <x v="35"/>
  </r>
  <r>
    <s v="Erhart"/>
    <s v="Meriot"/>
    <x v="0"/>
    <n v="29"/>
    <n v="158"/>
    <n v="73"/>
    <x v="3"/>
    <n v="1.58"/>
    <x v="36"/>
  </r>
  <r>
    <s v="Wolfy"/>
    <s v="Quigg"/>
    <x v="0"/>
    <n v="27"/>
    <n v="195"/>
    <n v="113"/>
    <x v="1"/>
    <n v="1.95"/>
    <x v="37"/>
  </r>
  <r>
    <s v="Christie"/>
    <s v="Ritchings"/>
    <x v="1"/>
    <n v="20"/>
    <n v="164"/>
    <n v="93"/>
    <x v="1"/>
    <n v="1.64"/>
    <x v="38"/>
  </r>
  <r>
    <s v="Lettie"/>
    <s v="Hearmon"/>
    <x v="1"/>
    <n v="43"/>
    <n v="182"/>
    <n v="55"/>
    <x v="0"/>
    <n v="1.82"/>
    <x v="39"/>
  </r>
  <r>
    <s v="Janifer"/>
    <s v="Tann"/>
    <x v="1"/>
    <n v="41"/>
    <n v="160"/>
    <n v="74"/>
    <x v="0"/>
    <n v="1.6"/>
    <x v="40"/>
  </r>
  <r>
    <s v="Pooh"/>
    <s v="Tomaszewski"/>
    <x v="1"/>
    <n v="56"/>
    <n v="197"/>
    <n v="81"/>
    <x v="0"/>
    <n v="1.97"/>
    <x v="41"/>
  </r>
  <r>
    <s v="Nataniel"/>
    <s v="Diemer"/>
    <x v="0"/>
    <n v="35"/>
    <n v="184"/>
    <n v="95"/>
    <x v="2"/>
    <n v="1.84"/>
    <x v="42"/>
  </r>
  <r>
    <s v="Yance"/>
    <s v="Wivell"/>
    <x v="0"/>
    <n v="47"/>
    <n v="171"/>
    <n v="51"/>
    <x v="1"/>
    <n v="1.71"/>
    <x v="43"/>
  </r>
  <r>
    <s v="Pierson"/>
    <s v="Ingledow"/>
    <x v="0"/>
    <n v="39"/>
    <n v="172"/>
    <n v="58"/>
    <x v="3"/>
    <n v="1.72"/>
    <x v="44"/>
  </r>
  <r>
    <s v="Carolin"/>
    <s v="Dunkirk"/>
    <x v="1"/>
    <n v="28"/>
    <n v="184"/>
    <n v="73"/>
    <x v="1"/>
    <n v="1.84"/>
    <x v="45"/>
  </r>
  <r>
    <s v="Liam"/>
    <s v="Azemar"/>
    <x v="0"/>
    <n v="60"/>
    <n v="196"/>
    <n v="51"/>
    <x v="1"/>
    <n v="1.96"/>
    <x v="46"/>
  </r>
  <r>
    <s v="Alain"/>
    <s v="McGing"/>
    <x v="0"/>
    <n v="23"/>
    <n v="176"/>
    <n v="108"/>
    <x v="1"/>
    <n v="1.76"/>
    <x v="47"/>
  </r>
  <r>
    <s v="Drake"/>
    <s v="Mannering"/>
    <x v="0"/>
    <n v="32"/>
    <n v="173"/>
    <n v="104"/>
    <x v="3"/>
    <n v="1.73"/>
    <x v="48"/>
  </r>
  <r>
    <s v="Cullie"/>
    <s v="Roskelley"/>
    <x v="0"/>
    <n v="48"/>
    <n v="165"/>
    <n v="114"/>
    <x v="3"/>
    <n v="1.65"/>
    <x v="49"/>
  </r>
  <r>
    <s v="Saundra"/>
    <s v="Ledwith"/>
    <x v="0"/>
    <n v="18"/>
    <n v="179"/>
    <n v="91"/>
    <x v="0"/>
    <n v="1.79"/>
    <x v="50"/>
  </r>
  <r>
    <s v="Dall"/>
    <s v="Gerger"/>
    <x v="0"/>
    <n v="54"/>
    <n v="165"/>
    <n v="65"/>
    <x v="1"/>
    <n v="1.65"/>
    <x v="51"/>
  </r>
  <r>
    <s v="Braden"/>
    <s v="Corish"/>
    <x v="0"/>
    <n v="18"/>
    <n v="165"/>
    <n v="89"/>
    <x v="1"/>
    <n v="1.65"/>
    <x v="52"/>
  </r>
  <r>
    <s v="Enrique"/>
    <s v="Matsell"/>
    <x v="0"/>
    <n v="51"/>
    <n v="157"/>
    <n v="111"/>
    <x v="2"/>
    <n v="1.57"/>
    <x v="53"/>
  </r>
  <r>
    <s v="Joshuah"/>
    <s v="Cridlin"/>
    <x v="0"/>
    <n v="29"/>
    <n v="168"/>
    <n v="88"/>
    <x v="3"/>
    <n v="1.68"/>
    <x v="54"/>
  </r>
  <r>
    <s v="Jozef"/>
    <s v="Gooday"/>
    <x v="0"/>
    <n v="34"/>
    <n v="156"/>
    <n v="78"/>
    <x v="2"/>
    <n v="1.56"/>
    <x v="55"/>
  </r>
  <r>
    <s v="Corette"/>
    <s v="Hayne"/>
    <x v="1"/>
    <n v="25"/>
    <n v="178"/>
    <n v="112"/>
    <x v="2"/>
    <n v="1.78"/>
    <x v="56"/>
  </r>
  <r>
    <s v="Garry"/>
    <s v="Hulkes"/>
    <x v="0"/>
    <n v="26"/>
    <n v="180"/>
    <n v="82"/>
    <x v="2"/>
    <n v="1.8"/>
    <x v="57"/>
  </r>
  <r>
    <s v="Shem"/>
    <s v="Elam"/>
    <x v="0"/>
    <n v="29"/>
    <n v="194"/>
    <n v="80"/>
    <x v="1"/>
    <n v="1.94"/>
    <x v="58"/>
  </r>
  <r>
    <s v="Terry"/>
    <s v="Vedenisov"/>
    <x v="1"/>
    <n v="25"/>
    <n v="171"/>
    <n v="63"/>
    <x v="3"/>
    <n v="1.71"/>
    <x v="59"/>
  </r>
  <r>
    <s v="Zoe"/>
    <s v="Amys"/>
    <x v="1"/>
    <n v="44"/>
    <n v="189"/>
    <n v="101"/>
    <x v="0"/>
    <n v="1.89"/>
    <x v="60"/>
  </r>
  <r>
    <s v="Blaine"/>
    <s v="Andersen"/>
    <x v="0"/>
    <n v="52"/>
    <n v="174"/>
    <n v="77"/>
    <x v="2"/>
    <n v="1.74"/>
    <x v="61"/>
  </r>
  <r>
    <s v="Chicky"/>
    <s v="Jolliff"/>
    <x v="0"/>
    <n v="42"/>
    <n v="160"/>
    <n v="76"/>
    <x v="0"/>
    <n v="1.6"/>
    <x v="62"/>
  </r>
  <r>
    <s v="Kinnie"/>
    <s v="Gallehawk"/>
    <x v="0"/>
    <n v="33"/>
    <n v="165"/>
    <n v="116"/>
    <x v="1"/>
    <n v="1.65"/>
    <x v="63"/>
  </r>
  <r>
    <s v="Sybila"/>
    <s v="Guerry"/>
    <x v="1"/>
    <n v="39"/>
    <n v="159"/>
    <n v="101"/>
    <x v="0"/>
    <n v="1.59"/>
    <x v="64"/>
  </r>
  <r>
    <s v="Ivory"/>
    <s v="Blackborough"/>
    <x v="1"/>
    <n v="55"/>
    <n v="193"/>
    <n v="107"/>
    <x v="3"/>
    <n v="1.93"/>
    <x v="65"/>
  </r>
  <r>
    <s v="Dannie"/>
    <s v="Flea"/>
    <x v="1"/>
    <n v="51"/>
    <n v="194"/>
    <n v="67"/>
    <x v="3"/>
    <n v="1.94"/>
    <x v="66"/>
  </r>
  <r>
    <s v="Dukey"/>
    <s v="Willatts"/>
    <x v="0"/>
    <n v="36"/>
    <n v="160"/>
    <n v="113"/>
    <x v="2"/>
    <n v="1.6"/>
    <x v="23"/>
  </r>
  <r>
    <s v="Hendrika"/>
    <s v="Sysland"/>
    <x v="1"/>
    <n v="32"/>
    <n v="156"/>
    <n v="55"/>
    <x v="3"/>
    <n v="1.56"/>
    <x v="67"/>
  </r>
  <r>
    <s v="Hunt"/>
    <s v="Klee"/>
    <x v="0"/>
    <n v="55"/>
    <n v="156"/>
    <n v="103"/>
    <x v="3"/>
    <n v="1.56"/>
    <x v="68"/>
  </r>
  <r>
    <s v="Gorden"/>
    <s v="Rucklidge"/>
    <x v="0"/>
    <n v="53"/>
    <n v="196"/>
    <n v="62"/>
    <x v="2"/>
    <n v="1.96"/>
    <x v="69"/>
  </r>
  <r>
    <s v="Thorpe"/>
    <s v="Teall"/>
    <x v="0"/>
    <n v="51"/>
    <n v="183"/>
    <n v="111"/>
    <x v="3"/>
    <n v="1.83"/>
    <x v="70"/>
  </r>
  <r>
    <s v="Brandais"/>
    <s v="Accum"/>
    <x v="1"/>
    <n v="25"/>
    <n v="189"/>
    <n v="119"/>
    <x v="0"/>
    <n v="1.89"/>
    <x v="71"/>
  </r>
  <r>
    <s v="Ernesto"/>
    <s v="Lancashire"/>
    <x v="0"/>
    <n v="52"/>
    <n v="169"/>
    <n v="70"/>
    <x v="0"/>
    <n v="1.69"/>
    <x v="72"/>
  </r>
  <r>
    <s v="Jodi"/>
    <s v="Rudiger"/>
    <x v="1"/>
    <n v="48"/>
    <n v="156"/>
    <n v="64"/>
    <x v="1"/>
    <n v="1.56"/>
    <x v="73"/>
  </r>
  <r>
    <s v="Vera"/>
    <s v="McGorley"/>
    <x v="1"/>
    <n v="49"/>
    <n v="158"/>
    <n v="119"/>
    <x v="2"/>
    <n v="1.58"/>
    <x v="74"/>
  </r>
  <r>
    <s v="Carol"/>
    <s v="Dalziell"/>
    <x v="1"/>
    <n v="43"/>
    <n v="189"/>
    <n v="100"/>
    <x v="3"/>
    <n v="1.89"/>
    <x v="75"/>
  </r>
  <r>
    <s v="Taber"/>
    <s v="Kupper"/>
    <x v="0"/>
    <n v="56"/>
    <n v="196"/>
    <n v="62"/>
    <x v="2"/>
    <n v="1.96"/>
    <x v="69"/>
  </r>
  <r>
    <s v="Terrijo"/>
    <s v="Guise"/>
    <x v="1"/>
    <n v="48"/>
    <n v="187"/>
    <n v="84"/>
    <x v="0"/>
    <n v="1.87"/>
    <x v="76"/>
  </r>
  <r>
    <s v="Tobiah"/>
    <s v="Claeskens"/>
    <x v="0"/>
    <n v="32"/>
    <n v="173"/>
    <n v="52"/>
    <x v="0"/>
    <n v="1.73"/>
    <x v="12"/>
  </r>
  <r>
    <s v="Grantley"/>
    <s v="Roux"/>
    <x v="0"/>
    <n v="39"/>
    <n v="181"/>
    <n v="107"/>
    <x v="2"/>
    <n v="1.81"/>
    <x v="77"/>
  </r>
  <r>
    <s v="Whittaker"/>
    <s v="Shipsey"/>
    <x v="0"/>
    <n v="46"/>
    <n v="156"/>
    <n v="107"/>
    <x v="0"/>
    <n v="1.56"/>
    <x v="78"/>
  </r>
  <r>
    <s v="Augie"/>
    <s v="Harkin"/>
    <x v="0"/>
    <n v="49"/>
    <n v="169"/>
    <n v="87"/>
    <x v="0"/>
    <n v="1.69"/>
    <x v="79"/>
  </r>
  <r>
    <s v="Rriocard"/>
    <s v="Shelp"/>
    <x v="0"/>
    <n v="43"/>
    <n v="194"/>
    <n v="50"/>
    <x v="1"/>
    <n v="1.94"/>
    <x v="80"/>
  </r>
  <r>
    <s v="Chas"/>
    <s v="Cacacie"/>
    <x v="0"/>
    <n v="29"/>
    <n v="194"/>
    <n v="120"/>
    <x v="2"/>
    <n v="1.94"/>
    <x v="81"/>
  </r>
  <r>
    <s v="Karine"/>
    <s v="Domange"/>
    <x v="1"/>
    <n v="58"/>
    <n v="195"/>
    <n v="67"/>
    <x v="1"/>
    <n v="1.95"/>
    <x v="82"/>
  </r>
  <r>
    <s v="Lilian"/>
    <s v="Maddison"/>
    <x v="1"/>
    <n v="34"/>
    <n v="187"/>
    <n v="81"/>
    <x v="0"/>
    <n v="1.87"/>
    <x v="83"/>
  </r>
  <r>
    <s v="Honor"/>
    <s v="Rosie"/>
    <x v="1"/>
    <n v="56"/>
    <n v="160"/>
    <n v="75"/>
    <x v="2"/>
    <n v="1.6"/>
    <x v="84"/>
  </r>
  <r>
    <s v="Walden"/>
    <s v="Handford"/>
    <x v="0"/>
    <n v="20"/>
    <n v="187"/>
    <n v="113"/>
    <x v="1"/>
    <n v="1.87"/>
    <x v="85"/>
  </r>
  <r>
    <s v="Siward"/>
    <s v="Hambribe"/>
    <x v="0"/>
    <n v="21"/>
    <n v="173"/>
    <n v="100"/>
    <x v="0"/>
    <n v="1.73"/>
    <x v="86"/>
  </r>
  <r>
    <s v="Salomone"/>
    <s v="Zorzi"/>
    <x v="0"/>
    <n v="21"/>
    <n v="185"/>
    <n v="62"/>
    <x v="0"/>
    <n v="1.85"/>
    <x v="87"/>
  </r>
  <r>
    <s v="Kylen"/>
    <s v="Matfield"/>
    <x v="1"/>
    <n v="48"/>
    <n v="185"/>
    <n v="91"/>
    <x v="0"/>
    <n v="1.85"/>
    <x v="88"/>
  </r>
  <r>
    <s v="Arther"/>
    <s v="Bromilow"/>
    <x v="0"/>
    <n v="35"/>
    <n v="166"/>
    <n v="120"/>
    <x v="0"/>
    <n v="1.66"/>
    <x v="89"/>
  </r>
  <r>
    <s v="Clywd"/>
    <s v="Cummins"/>
    <x v="0"/>
    <n v="25"/>
    <n v="175"/>
    <n v="102"/>
    <x v="0"/>
    <n v="1.75"/>
    <x v="90"/>
  </r>
  <r>
    <s v="Kyle"/>
    <s v="Hyndman"/>
    <x v="0"/>
    <n v="43"/>
    <n v="190"/>
    <n v="81"/>
    <x v="0"/>
    <n v="1.9"/>
    <x v="91"/>
  </r>
  <r>
    <s v="Galvin"/>
    <s v="Coudray"/>
    <x v="0"/>
    <n v="35"/>
    <n v="190"/>
    <n v="94"/>
    <x v="3"/>
    <n v="1.9"/>
    <x v="92"/>
  </r>
  <r>
    <s v="Tersina"/>
    <s v="Escofier"/>
    <x v="1"/>
    <n v="59"/>
    <n v="192"/>
    <n v="102"/>
    <x v="3"/>
    <n v="1.92"/>
    <x v="93"/>
  </r>
  <r>
    <s v="Jasmina"/>
    <s v="Clayal"/>
    <x v="1"/>
    <n v="35"/>
    <n v="179"/>
    <n v="110"/>
    <x v="3"/>
    <n v="1.79"/>
    <x v="94"/>
  </r>
  <r>
    <s v="Yehudi"/>
    <s v="Moultrie"/>
    <x v="0"/>
    <n v="44"/>
    <n v="157"/>
    <n v="117"/>
    <x v="0"/>
    <n v="1.57"/>
    <x v="95"/>
  </r>
  <r>
    <s v="Rusty"/>
    <s v="Pifford"/>
    <x v="0"/>
    <n v="20"/>
    <n v="180"/>
    <n v="68"/>
    <x v="0"/>
    <n v="1.8"/>
    <x v="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A688D-7D06-40A9-8B1C-844720C1854C}" name="Tabela przestawna9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123:F144" firstHeaderRow="1" firstDataRow="2" firstDataCol="1"/>
  <pivotFields count="9"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axis="axisRow" dataField="1" showAll="0">
      <items count="98">
        <item x="46"/>
        <item x="80"/>
        <item x="30"/>
        <item x="10"/>
        <item x="69"/>
        <item x="39"/>
        <item x="13"/>
        <item x="12"/>
        <item x="43"/>
        <item x="82"/>
        <item x="66"/>
        <item x="87"/>
        <item x="7"/>
        <item x="27"/>
        <item x="44"/>
        <item x="2"/>
        <item x="41"/>
        <item x="96"/>
        <item x="58"/>
        <item x="17"/>
        <item x="59"/>
        <item x="45"/>
        <item x="33"/>
        <item x="34"/>
        <item x="91"/>
        <item x="67"/>
        <item x="83"/>
        <item x="32"/>
        <item x="6"/>
        <item x="51"/>
        <item x="76"/>
        <item x="72"/>
        <item x="18"/>
        <item x="22"/>
        <item x="57"/>
        <item x="61"/>
        <item x="92"/>
        <item x="73"/>
        <item x="88"/>
        <item x="11"/>
        <item x="31"/>
        <item x="93"/>
        <item x="75"/>
        <item x="42"/>
        <item x="28"/>
        <item x="60"/>
        <item x="50"/>
        <item x="65"/>
        <item x="40"/>
        <item x="36"/>
        <item x="4"/>
        <item x="84"/>
        <item x="62"/>
        <item x="37"/>
        <item x="21"/>
        <item x="79"/>
        <item x="3"/>
        <item x="54"/>
        <item x="20"/>
        <item x="19"/>
        <item x="81"/>
        <item x="55"/>
        <item x="15"/>
        <item x="85"/>
        <item x="9"/>
        <item x="1"/>
        <item x="29"/>
        <item x="77"/>
        <item x="52"/>
        <item x="35"/>
        <item x="70"/>
        <item x="90"/>
        <item x="71"/>
        <item x="86"/>
        <item x="5"/>
        <item x="26"/>
        <item x="94"/>
        <item x="38"/>
        <item x="48"/>
        <item x="47"/>
        <item x="56"/>
        <item x="0"/>
        <item x="24"/>
        <item x="14"/>
        <item x="64"/>
        <item x="16"/>
        <item x="49"/>
        <item x="25"/>
        <item x="68"/>
        <item x="63"/>
        <item x="8"/>
        <item x="89"/>
        <item x="78"/>
        <item x="23"/>
        <item x="53"/>
        <item x="95"/>
        <item x="74"/>
        <item t="default"/>
      </items>
    </pivotField>
  </pivotFields>
  <rowFields count="1">
    <field x="8"/>
  </rowFields>
  <rowItems count="20"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Liczba z bmi" fld="8" subtotal="count" baseField="8" baseItem="0"/>
  </dataFields>
  <pivotTableStyleInfo name="PivotStyleLight16" showRowHeaders="1" showColHeaders="1" showRowStripes="0" showColStripes="0" showLastColumn="1"/>
  <filters count="1">
    <filter fld="8" type="captionBetween" evalOrder="-1" id="2" stringValue1="18,5" stringValue2="25">
      <autoFilter ref="A1">
        <filterColumn colId="0">
          <customFilters and="1">
            <customFilter operator="greaterThanOrEqual" val="18.5"/>
            <customFilter operator="lessThanOrEqual" val="2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896FF-FF91-4529-950F-C419D3B1CE84}" name="Tabela przestawna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116:B121" firstHeaderRow="1" firstDataRow="1" firstDataCol="1"/>
  <pivotFields count="9"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ksimum z height" fld="4" subtotal="max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63B5D-86E0-4E08-B58B-420E30AEE752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109:B114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x="3"/>
        <item t="default"/>
      </items>
    </pivotField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Liczba z country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F4184-5665-4BCC-95E2-7396B3708717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104:B107" firstHeaderRow="1" firstDataRow="1" firstDataCol="1"/>
  <pivotFields count="9"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Liczba z gend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9384D-86EB-440D-89A2-986159512E6A}" name="Tabela przestawna1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153:B160" firstHeaderRow="1" firstDataRow="1" firstDataCol="1"/>
  <pivotFields count="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axis="axisRow" showAll="0">
      <items count="5">
        <item h="1" x="0"/>
        <item h="1" x="2"/>
        <item x="1"/>
        <item x="3"/>
        <item t="default"/>
      </items>
    </pivotField>
    <pivotField showAll="0"/>
    <pivotField showAll="0"/>
  </pivotFields>
  <rowFields count="2">
    <field x="6"/>
    <field x="2"/>
  </rowFields>
  <rowItems count="7"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Średnia z wage" fld="5" subtotal="average" baseField="6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6511D-27B1-45C1-8673-21B0874992B4}" name="Tabela przestawna10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146:B151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Średnia z bmi" fld="8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22664424-1AF5-4818-9633-CD8AFB1DFFE8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Liczność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397A60B-8763-4372-B225-D326483214B7}" autoFormatId="16" applyNumberFormats="0" applyBorderFormats="0" applyFontFormats="0" applyPatternFormats="0" applyAlignmentFormats="0" applyWidthHeightFormats="0">
  <queryTableRefresh nextId="9">
    <queryTableFields count="8">
      <queryTableField id="1" name="first_name" tableColumnId="1"/>
      <queryTableField id="2" name="last_name" tableColumnId="2"/>
      <queryTableField id="3" name="gender" tableColumnId="3"/>
      <queryTableField id="4" name="age" tableColumnId="4"/>
      <queryTableField id="5" name="height" tableColumnId="5"/>
      <queryTableField id="6" name="wage" tableColumnId="6"/>
      <queryTableField id="7" name="country" tableColumnId="7"/>
      <queryTableField id="8" name="bmi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DABA645-9F68-4E01-8C83-B107FADDE846}" autoFormatId="16" applyNumberFormats="0" applyBorderFormats="0" applyFontFormats="0" applyPatternFormats="0" applyAlignmentFormats="0" applyWidthHeightFormats="0">
  <queryTableRefresh nextId="6">
    <queryTableFields count="5">
      <queryTableField id="1" name="gender" tableColumnId="1"/>
      <queryTableField id="2" name="age" tableColumnId="2"/>
      <queryTableField id="3" name="height" tableColumnId="3"/>
      <queryTableField id="4" name="wage" tableColumnId="4"/>
      <queryTableField id="5" name="country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0D5EF8-8826-41E6-909B-E9ED346F9F4F}" autoFormatId="16" applyNumberFormats="0" applyBorderFormats="0" applyFontFormats="0" applyPatternFormats="0" applyAlignmentFormats="0" applyWidthHeightFormats="0">
  <queryTableRefresh nextId="8">
    <queryTableFields count="7">
      <queryTableField id="1" name="first_name" tableColumnId="1"/>
      <queryTableField id="2" name="last_name" tableColumnId="2"/>
      <queryTableField id="3" name="gender" tableColumnId="3"/>
      <queryTableField id="4" name="age" tableColumnId="4"/>
      <queryTableField id="5" name="height" tableColumnId="5"/>
      <queryTableField id="6" name="wage" tableColumnId="6"/>
      <queryTableField id="7" name="countr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1926F4-48D4-4BDB-B1AC-175C09825098}" name="medical_data__4" displayName="medical_data__4" ref="A1:B5" tableType="queryTable" totalsRowShown="0">
  <autoFilter ref="A1:B5" xr:uid="{621926F4-48D4-4BDB-B1AC-175C09825098}"/>
  <tableColumns count="2">
    <tableColumn id="1" xr3:uid="{41008EAC-2DB6-4108-85E0-48594E71F9F9}" uniqueName="1" name="country" queryTableFieldId="1" dataDxfId="0"/>
    <tableColumn id="2" xr3:uid="{DCE5C8CF-B464-4E2F-B62C-56BFB2BA9769}" uniqueName="2" name="Liczność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F7184A-9297-4FD2-BC92-A141574280B8}" name="medical_data__3" displayName="medical_data__3" ref="A1:H101" tableType="queryTable" totalsRowShown="0">
  <autoFilter ref="A1:H101" xr:uid="{A5F7184A-9297-4FD2-BC92-A141574280B8}"/>
  <tableColumns count="8">
    <tableColumn id="1" xr3:uid="{C43EE0C9-0994-46D6-B1B5-F9126E5732DA}" uniqueName="1" name="first_name" queryTableFieldId="1" dataDxfId="4"/>
    <tableColumn id="2" xr3:uid="{DA59DE0D-A9E8-44DE-860F-FA2E46B11326}" uniqueName="2" name="last_name" queryTableFieldId="2" dataDxfId="3"/>
    <tableColumn id="3" xr3:uid="{E4A9D8BE-B514-45C9-8F0E-1467F80D3CA7}" uniqueName="3" name="gender" queryTableFieldId="3" dataDxfId="2"/>
    <tableColumn id="4" xr3:uid="{0BF96747-AC41-4D24-AB05-4E131E46BC7A}" uniqueName="4" name="age" queryTableFieldId="4"/>
    <tableColumn id="5" xr3:uid="{E8E6C1F0-4ED4-482B-8D0A-EF3415A09404}" uniqueName="5" name="height" queryTableFieldId="5"/>
    <tableColumn id="6" xr3:uid="{EBC9A590-B314-41A5-94D0-9F9D9AAB543B}" uniqueName="6" name="wage" queryTableFieldId="6"/>
    <tableColumn id="7" xr3:uid="{B6DEAC32-36BD-4F16-84D6-1D4F838E5D17}" uniqueName="7" name="country" queryTableFieldId="7" dataDxfId="1"/>
    <tableColumn id="8" xr3:uid="{8851B8A3-A158-4EE5-9AF8-279C6A040BFA}" uniqueName="8" name="bmi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331C95-A392-464C-9864-50A6484CD6CB}" name="medical_data__2" displayName="medical_data__2" ref="A1:E101" tableType="queryTable" totalsRowShown="0">
  <autoFilter ref="A1:E101" xr:uid="{93331C95-A392-464C-9864-50A6484CD6CB}"/>
  <tableColumns count="5">
    <tableColumn id="1" xr3:uid="{D7DE9588-3482-4255-97D1-86B8FF873B89}" uniqueName="1" name="gender" queryTableFieldId="1" dataDxfId="6"/>
    <tableColumn id="2" xr3:uid="{7971DF9F-3469-4D5E-A6E8-ADD4D1D32877}" uniqueName="2" name="age" queryTableFieldId="2"/>
    <tableColumn id="3" xr3:uid="{A13E6CF0-5061-43E7-A4E2-7EE804574C7C}" uniqueName="3" name="height" queryTableFieldId="3"/>
    <tableColumn id="4" xr3:uid="{09D079EF-0B91-429D-A037-F2AE6B00F55D}" uniqueName="4" name="wage" queryTableFieldId="4"/>
    <tableColumn id="5" xr3:uid="{87970438-1541-4DC1-A25F-E17B49D31E6D}" uniqueName="5" name="country" queryTableFieldId="5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8FB7DD-ECEC-496A-BFD0-0C32DE59692A}" name="medical_data" displayName="medical_data" ref="A1:G101" tableType="queryTable" totalsRowShown="0">
  <autoFilter ref="A1:G101" xr:uid="{818FB7DD-ECEC-496A-BFD0-0C32DE59692A}"/>
  <tableColumns count="7">
    <tableColumn id="1" xr3:uid="{13157582-2EFE-4127-9E4F-7D9C690C67AB}" uniqueName="1" name="first_name" queryTableFieldId="1" dataDxfId="10"/>
    <tableColumn id="2" xr3:uid="{30CDC1EF-4C7B-4FC5-9C84-289E369EF617}" uniqueName="2" name="last_name" queryTableFieldId="2" dataDxfId="9"/>
    <tableColumn id="3" xr3:uid="{D2994BF1-2A2D-477B-BF71-737F41BA6D41}" uniqueName="3" name="gender" queryTableFieldId="3" dataDxfId="8"/>
    <tableColumn id="4" xr3:uid="{A386724E-0930-4CCB-B69B-3D9B66ED9B74}" uniqueName="4" name="age" queryTableFieldId="4"/>
    <tableColumn id="5" xr3:uid="{F23F35CE-DD7B-43B9-B7AE-83C2542BDE11}" uniqueName="5" name="height" queryTableFieldId="5"/>
    <tableColumn id="6" xr3:uid="{57177E4F-E6A7-43EE-8D31-418E58F01644}" uniqueName="6" name="wage" queryTableFieldId="6"/>
    <tableColumn id="7" xr3:uid="{AA1D6A59-9273-42A9-8A7B-773C80E0EBC9}" uniqueName="7" name="country" queryTableFieldId="7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01A365-91B5-4558-B12D-881AB066AC17}" name="Tabela1" displayName="Tabela1" ref="A1:I102" totalsRowCount="1">
  <autoFilter ref="A1:I101" xr:uid="{0D01A365-91B5-4558-B12D-881AB066AC17}">
    <filterColumn colId="2">
      <filters>
        <filter val="Male"/>
      </filters>
    </filterColumn>
  </autoFilter>
  <tableColumns count="9">
    <tableColumn id="1" xr3:uid="{15396488-5057-4605-A5F3-22700C382700}" name="first_name" totalsRowLabel="Suma"/>
    <tableColumn id="2" xr3:uid="{2AACE943-6205-4D11-9B2F-231C090A8B3D}" name="last_name"/>
    <tableColumn id="3" xr3:uid="{F8825F46-46B1-49DC-80E8-758703CD7A8F}" name="gender"/>
    <tableColumn id="4" xr3:uid="{98114CBC-1EF9-4AD2-8BF2-3D8050A67974}" name="age"/>
    <tableColumn id="5" xr3:uid="{C7CAD130-5E10-4575-AF88-2FEAF94903D2}" name="height"/>
    <tableColumn id="6" xr3:uid="{A50EECAA-D866-4D6E-A28A-D3573DD7EFF0}" name="wage"/>
    <tableColumn id="7" xr3:uid="{2ED50242-9A45-4FBA-B428-83765D61764D}" name="country"/>
    <tableColumn id="16" xr3:uid="{8FA7A8BD-E746-41EE-A728-E9A946DDEA51}" name="height (m)" dataDxfId="12">
      <calculatedColumnFormula>Tabela1[[#This Row],[height]]/100</calculatedColumnFormula>
    </tableColumn>
    <tableColumn id="25" xr3:uid="{6A493BFC-2E63-4271-AA86-731EB3AB36E1}" name="bmi" dataDxfId="11">
      <calculatedColumnFormula>Tabela1[[#This Row],[wage]]/POWER(Tabela1[[#This Row],[height (m)]],2)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CA55-61F8-4084-BD68-75AA7A2A7955}">
  <dimension ref="A1:B5"/>
  <sheetViews>
    <sheetView workbookViewId="0">
      <selection activeCell="D40" sqref="D40"/>
    </sheetView>
  </sheetViews>
  <sheetFormatPr defaultRowHeight="14.25" x14ac:dyDescent="0.2"/>
  <cols>
    <col min="1" max="1" width="9.5" bestFit="1" customWidth="1"/>
    <col min="2" max="2" width="10.75" bestFit="1" customWidth="1"/>
  </cols>
  <sheetData>
    <row r="1" spans="1:2" x14ac:dyDescent="0.2">
      <c r="A1" t="s">
        <v>6</v>
      </c>
      <c r="B1" t="s">
        <v>423</v>
      </c>
    </row>
    <row r="2" spans="1:2" x14ac:dyDescent="0.2">
      <c r="A2" s="4" t="s">
        <v>22</v>
      </c>
      <c r="B2">
        <v>24</v>
      </c>
    </row>
    <row r="3" spans="1:2" x14ac:dyDescent="0.2">
      <c r="A3" s="4" t="s">
        <v>10</v>
      </c>
      <c r="B3">
        <v>32</v>
      </c>
    </row>
    <row r="4" spans="1:2" x14ac:dyDescent="0.2">
      <c r="A4" s="4" t="s">
        <v>17</v>
      </c>
      <c r="B4">
        <v>26</v>
      </c>
    </row>
    <row r="5" spans="1:2" x14ac:dyDescent="0.2">
      <c r="A5" s="4" t="s">
        <v>14</v>
      </c>
      <c r="B5">
        <v>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8DE9-32EF-43FF-B157-4739210F67B9}">
  <dimension ref="A1:H101"/>
  <sheetViews>
    <sheetView tabSelected="1" topLeftCell="A81" workbookViewId="0">
      <selection activeCell="K105" sqref="K105"/>
    </sheetView>
  </sheetViews>
  <sheetFormatPr defaultRowHeight="14.25" x14ac:dyDescent="0.2"/>
  <cols>
    <col min="1" max="1" width="12.125" bestFit="1" customWidth="1"/>
    <col min="2" max="2" width="11.75" bestFit="1" customWidth="1"/>
    <col min="3" max="3" width="9.25" bestFit="1" customWidth="1"/>
    <col min="4" max="4" width="6.125" bestFit="1" customWidth="1"/>
    <col min="5" max="5" width="8.5" bestFit="1" customWidth="1"/>
    <col min="6" max="6" width="7.5" bestFit="1" customWidth="1"/>
    <col min="7" max="7" width="9.5" bestFit="1" customWidth="1"/>
    <col min="8" max="8" width="11.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219</v>
      </c>
    </row>
    <row r="2" spans="1:8" x14ac:dyDescent="0.2">
      <c r="A2" s="4" t="s">
        <v>225</v>
      </c>
      <c r="B2" s="4" t="s">
        <v>226</v>
      </c>
      <c r="C2" s="4" t="s">
        <v>9</v>
      </c>
      <c r="D2">
        <v>40</v>
      </c>
      <c r="E2">
        <v>193</v>
      </c>
      <c r="F2">
        <v>116</v>
      </c>
      <c r="G2" s="4" t="s">
        <v>22</v>
      </c>
      <c r="H2">
        <v>31.141775618137402</v>
      </c>
    </row>
    <row r="3" spans="1:8" x14ac:dyDescent="0.2">
      <c r="A3" s="4" t="s">
        <v>227</v>
      </c>
      <c r="B3" s="4" t="s">
        <v>228</v>
      </c>
      <c r="C3" s="4" t="s">
        <v>9</v>
      </c>
      <c r="D3">
        <v>31</v>
      </c>
      <c r="E3">
        <v>175</v>
      </c>
      <c r="F3">
        <v>81</v>
      </c>
      <c r="G3" s="4" t="s">
        <v>10</v>
      </c>
      <c r="H3">
        <v>26.448979591836736</v>
      </c>
    </row>
    <row r="4" spans="1:8" x14ac:dyDescent="0.2">
      <c r="A4" s="4" t="s">
        <v>229</v>
      </c>
      <c r="B4" s="4" t="s">
        <v>230</v>
      </c>
      <c r="C4" s="4" t="s">
        <v>9</v>
      </c>
      <c r="D4">
        <v>41</v>
      </c>
      <c r="E4">
        <v>193</v>
      </c>
      <c r="F4">
        <v>65</v>
      </c>
      <c r="G4" s="4" t="s">
        <v>22</v>
      </c>
      <c r="H4">
        <v>17.450132889473544</v>
      </c>
    </row>
    <row r="5" spans="1:8" x14ac:dyDescent="0.2">
      <c r="A5" s="4" t="s">
        <v>231</v>
      </c>
      <c r="B5" s="4" t="s">
        <v>232</v>
      </c>
      <c r="C5" s="4" t="s">
        <v>13</v>
      </c>
      <c r="D5">
        <v>18</v>
      </c>
      <c r="E5">
        <v>165</v>
      </c>
      <c r="F5">
        <v>69</v>
      </c>
      <c r="G5" s="4" t="s">
        <v>10</v>
      </c>
      <c r="H5">
        <v>25.344352617079892</v>
      </c>
    </row>
    <row r="6" spans="1:8" x14ac:dyDescent="0.2">
      <c r="A6" s="4" t="s">
        <v>233</v>
      </c>
      <c r="B6" s="4" t="s">
        <v>234</v>
      </c>
      <c r="C6" s="4" t="s">
        <v>13</v>
      </c>
      <c r="D6">
        <v>26</v>
      </c>
      <c r="E6">
        <v>189</v>
      </c>
      <c r="F6">
        <v>56</v>
      </c>
      <c r="G6" s="4" t="s">
        <v>10</v>
      </c>
      <c r="H6">
        <v>15.677052714089752</v>
      </c>
    </row>
    <row r="7" spans="1:8" x14ac:dyDescent="0.2">
      <c r="A7" s="4" t="s">
        <v>235</v>
      </c>
      <c r="B7" s="4" t="s">
        <v>236</v>
      </c>
      <c r="C7" s="4" t="s">
        <v>13</v>
      </c>
      <c r="D7">
        <v>43</v>
      </c>
      <c r="E7">
        <v>190</v>
      </c>
      <c r="F7">
        <v>106</v>
      </c>
      <c r="G7" s="4" t="s">
        <v>22</v>
      </c>
      <c r="H7">
        <v>29.362880886426595</v>
      </c>
    </row>
    <row r="8" spans="1:8" x14ac:dyDescent="0.2">
      <c r="A8" s="4" t="s">
        <v>237</v>
      </c>
      <c r="B8" s="4" t="s">
        <v>238</v>
      </c>
      <c r="C8" s="4" t="s">
        <v>9</v>
      </c>
      <c r="D8">
        <v>50</v>
      </c>
      <c r="E8">
        <v>195</v>
      </c>
      <c r="F8">
        <v>119</v>
      </c>
      <c r="G8" s="4" t="s">
        <v>17</v>
      </c>
      <c r="H8">
        <v>31.295200525969758</v>
      </c>
    </row>
    <row r="9" spans="1:8" x14ac:dyDescent="0.2">
      <c r="A9" s="4" t="s">
        <v>239</v>
      </c>
      <c r="B9" s="4" t="s">
        <v>240</v>
      </c>
      <c r="C9" s="4" t="s">
        <v>9</v>
      </c>
      <c r="D9">
        <v>58</v>
      </c>
      <c r="E9">
        <v>169</v>
      </c>
      <c r="F9">
        <v>92</v>
      </c>
      <c r="G9" s="4" t="s">
        <v>10</v>
      </c>
      <c r="H9">
        <v>32.211757291411367</v>
      </c>
    </row>
    <row r="10" spans="1:8" x14ac:dyDescent="0.2">
      <c r="A10" s="4" t="s">
        <v>241</v>
      </c>
      <c r="B10" s="4" t="s">
        <v>242</v>
      </c>
      <c r="C10" s="4" t="s">
        <v>13</v>
      </c>
      <c r="D10">
        <v>48</v>
      </c>
      <c r="E10">
        <v>185</v>
      </c>
      <c r="F10">
        <v>103</v>
      </c>
      <c r="G10" s="4" t="s">
        <v>10</v>
      </c>
      <c r="H10">
        <v>30.094959824689553</v>
      </c>
    </row>
    <row r="11" spans="1:8" x14ac:dyDescent="0.2">
      <c r="A11" s="4" t="s">
        <v>243</v>
      </c>
      <c r="B11" s="4" t="s">
        <v>244</v>
      </c>
      <c r="C11" s="4" t="s">
        <v>9</v>
      </c>
      <c r="D11">
        <v>46</v>
      </c>
      <c r="E11">
        <v>157</v>
      </c>
      <c r="F11">
        <v>95</v>
      </c>
      <c r="G11" s="4" t="s">
        <v>22</v>
      </c>
      <c r="H11">
        <v>38.541117286705344</v>
      </c>
    </row>
    <row r="12" spans="1:8" x14ac:dyDescent="0.2">
      <c r="A12" s="4" t="s">
        <v>245</v>
      </c>
      <c r="B12" s="4" t="s">
        <v>246</v>
      </c>
      <c r="C12" s="4" t="s">
        <v>13</v>
      </c>
      <c r="D12">
        <v>58</v>
      </c>
      <c r="E12">
        <v>192</v>
      </c>
      <c r="F12">
        <v>60</v>
      </c>
      <c r="G12" s="4" t="s">
        <v>14</v>
      </c>
      <c r="H12">
        <v>16.276041666666668</v>
      </c>
    </row>
    <row r="13" spans="1:8" x14ac:dyDescent="0.2">
      <c r="A13" s="4" t="s">
        <v>247</v>
      </c>
      <c r="B13" s="4" t="s">
        <v>248</v>
      </c>
      <c r="C13" s="4" t="s">
        <v>9</v>
      </c>
      <c r="D13">
        <v>56</v>
      </c>
      <c r="E13">
        <v>190</v>
      </c>
      <c r="F13">
        <v>73</v>
      </c>
      <c r="G13" s="4" t="s">
        <v>17</v>
      </c>
      <c r="H13">
        <v>20.221606648199447</v>
      </c>
    </row>
    <row r="14" spans="1:8" x14ac:dyDescent="0.2">
      <c r="A14" s="4" t="s">
        <v>249</v>
      </c>
      <c r="B14" s="4" t="s">
        <v>250</v>
      </c>
      <c r="C14" s="4" t="s">
        <v>13</v>
      </c>
      <c r="D14">
        <v>34</v>
      </c>
      <c r="E14">
        <v>182</v>
      </c>
      <c r="F14">
        <v>91</v>
      </c>
      <c r="G14" s="4" t="s">
        <v>17</v>
      </c>
      <c r="H14">
        <v>27.472527472527471</v>
      </c>
    </row>
    <row r="15" spans="1:8" x14ac:dyDescent="0.2">
      <c r="A15" s="4" t="s">
        <v>251</v>
      </c>
      <c r="B15" s="4" t="s">
        <v>252</v>
      </c>
      <c r="C15" s="4" t="s">
        <v>13</v>
      </c>
      <c r="D15">
        <v>26</v>
      </c>
      <c r="E15">
        <v>168</v>
      </c>
      <c r="F15">
        <v>54</v>
      </c>
      <c r="G15" s="4" t="s">
        <v>14</v>
      </c>
      <c r="H15">
        <v>19.132653061224492</v>
      </c>
    </row>
    <row r="16" spans="1:8" x14ac:dyDescent="0.2">
      <c r="A16" s="4" t="s">
        <v>253</v>
      </c>
      <c r="B16" s="4" t="s">
        <v>254</v>
      </c>
      <c r="C16" s="4" t="s">
        <v>9</v>
      </c>
      <c r="D16">
        <v>21</v>
      </c>
      <c r="E16">
        <v>169</v>
      </c>
      <c r="F16">
        <v>109</v>
      </c>
      <c r="G16" s="4" t="s">
        <v>10</v>
      </c>
      <c r="H16">
        <v>38.163929834389556</v>
      </c>
    </row>
    <row r="17" spans="1:8" x14ac:dyDescent="0.2">
      <c r="A17" s="4" t="s">
        <v>255</v>
      </c>
      <c r="B17" s="4" t="s">
        <v>256</v>
      </c>
      <c r="C17" s="4" t="s">
        <v>9</v>
      </c>
      <c r="D17">
        <v>37</v>
      </c>
      <c r="E17">
        <v>183</v>
      </c>
      <c r="F17">
        <v>64</v>
      </c>
      <c r="G17" s="4" t="s">
        <v>10</v>
      </c>
      <c r="H17">
        <v>19.110752784496398</v>
      </c>
    </row>
    <row r="18" spans="1:8" x14ac:dyDescent="0.2">
      <c r="A18" s="4" t="s">
        <v>257</v>
      </c>
      <c r="B18" s="4" t="s">
        <v>258</v>
      </c>
      <c r="C18" s="4" t="s">
        <v>13</v>
      </c>
      <c r="D18">
        <v>38</v>
      </c>
      <c r="E18">
        <v>190</v>
      </c>
      <c r="F18">
        <v>66</v>
      </c>
      <c r="G18" s="4" t="s">
        <v>22</v>
      </c>
      <c r="H18">
        <v>18.282548476454295</v>
      </c>
    </row>
    <row r="19" spans="1:8" x14ac:dyDescent="0.2">
      <c r="A19" s="4" t="s">
        <v>259</v>
      </c>
      <c r="B19" s="4" t="s">
        <v>260</v>
      </c>
      <c r="C19" s="4" t="s">
        <v>9</v>
      </c>
      <c r="D19">
        <v>58</v>
      </c>
      <c r="E19">
        <v>182</v>
      </c>
      <c r="F19">
        <v>73</v>
      </c>
      <c r="G19" s="4" t="s">
        <v>22</v>
      </c>
      <c r="H19">
        <v>22.03840115928028</v>
      </c>
    </row>
    <row r="20" spans="1:8" x14ac:dyDescent="0.2">
      <c r="A20" s="4" t="s">
        <v>261</v>
      </c>
      <c r="B20" s="4" t="s">
        <v>262</v>
      </c>
      <c r="C20" s="4" t="s">
        <v>13</v>
      </c>
      <c r="D20">
        <v>54</v>
      </c>
      <c r="E20">
        <v>165</v>
      </c>
      <c r="F20">
        <v>75</v>
      </c>
      <c r="G20" s="4" t="s">
        <v>22</v>
      </c>
      <c r="H20">
        <v>27.548209366391188</v>
      </c>
    </row>
    <row r="21" spans="1:8" x14ac:dyDescent="0.2">
      <c r="A21" s="4" t="s">
        <v>263</v>
      </c>
      <c r="B21" s="4" t="s">
        <v>264</v>
      </c>
      <c r="C21" s="4" t="s">
        <v>9</v>
      </c>
      <c r="D21">
        <v>42</v>
      </c>
      <c r="E21">
        <v>159</v>
      </c>
      <c r="F21">
        <v>73</v>
      </c>
      <c r="G21" s="4" t="s">
        <v>14</v>
      </c>
      <c r="H21">
        <v>28.875440053795337</v>
      </c>
    </row>
    <row r="22" spans="1:8" x14ac:dyDescent="0.2">
      <c r="A22" s="4" t="s">
        <v>265</v>
      </c>
      <c r="B22" s="4" t="s">
        <v>266</v>
      </c>
      <c r="C22" s="4" t="s">
        <v>9</v>
      </c>
      <c r="D22">
        <v>33</v>
      </c>
      <c r="E22">
        <v>155</v>
      </c>
      <c r="F22">
        <v>114</v>
      </c>
      <c r="G22" s="4" t="s">
        <v>14</v>
      </c>
      <c r="H22">
        <v>47.450572320499475</v>
      </c>
    </row>
    <row r="23" spans="1:8" x14ac:dyDescent="0.2">
      <c r="A23" s="4" t="s">
        <v>267</v>
      </c>
      <c r="B23" s="4" t="s">
        <v>266</v>
      </c>
      <c r="C23" s="4" t="s">
        <v>13</v>
      </c>
      <c r="D23">
        <v>33</v>
      </c>
      <c r="E23">
        <v>196</v>
      </c>
      <c r="F23">
        <v>52</v>
      </c>
      <c r="G23" s="4" t="s">
        <v>14</v>
      </c>
      <c r="H23">
        <v>13.536026655560184</v>
      </c>
    </row>
    <row r="24" spans="1:8" x14ac:dyDescent="0.2">
      <c r="A24" s="4" t="s">
        <v>268</v>
      </c>
      <c r="B24" s="4" t="s">
        <v>269</v>
      </c>
      <c r="C24" s="4" t="s">
        <v>9</v>
      </c>
      <c r="D24">
        <v>29</v>
      </c>
      <c r="E24">
        <v>168</v>
      </c>
      <c r="F24">
        <v>52</v>
      </c>
      <c r="G24" s="4" t="s">
        <v>14</v>
      </c>
      <c r="H24">
        <v>18.424036281179141</v>
      </c>
    </row>
    <row r="25" spans="1:8" x14ac:dyDescent="0.2">
      <c r="A25" s="4" t="s">
        <v>270</v>
      </c>
      <c r="B25" s="4" t="s">
        <v>271</v>
      </c>
      <c r="C25" s="4" t="s">
        <v>13</v>
      </c>
      <c r="D25">
        <v>27</v>
      </c>
      <c r="E25">
        <v>197</v>
      </c>
      <c r="F25">
        <v>73</v>
      </c>
      <c r="G25" s="4" t="s">
        <v>17</v>
      </c>
      <c r="H25">
        <v>18.810069829163339</v>
      </c>
    </row>
    <row r="26" spans="1:8" x14ac:dyDescent="0.2">
      <c r="A26" s="4" t="s">
        <v>272</v>
      </c>
      <c r="B26" s="4" t="s">
        <v>273</v>
      </c>
      <c r="C26" s="4" t="s">
        <v>13</v>
      </c>
      <c r="D26">
        <v>53</v>
      </c>
      <c r="E26">
        <v>185</v>
      </c>
      <c r="F26">
        <v>113</v>
      </c>
      <c r="G26" s="4" t="s">
        <v>17</v>
      </c>
      <c r="H26">
        <v>33.016800584368148</v>
      </c>
    </row>
    <row r="27" spans="1:8" x14ac:dyDescent="0.2">
      <c r="A27" s="4" t="s">
        <v>274</v>
      </c>
      <c r="B27" s="4" t="s">
        <v>275</v>
      </c>
      <c r="C27" s="4" t="s">
        <v>9</v>
      </c>
      <c r="D27">
        <v>34</v>
      </c>
      <c r="E27">
        <v>186</v>
      </c>
      <c r="F27">
        <v>106</v>
      </c>
      <c r="G27" s="4" t="s">
        <v>14</v>
      </c>
      <c r="H27">
        <v>30.639380275176318</v>
      </c>
    </row>
    <row r="28" spans="1:8" x14ac:dyDescent="0.2">
      <c r="A28" s="4" t="s">
        <v>276</v>
      </c>
      <c r="B28" s="4" t="s">
        <v>277</v>
      </c>
      <c r="C28" s="4" t="s">
        <v>9</v>
      </c>
      <c r="D28">
        <v>46</v>
      </c>
      <c r="E28">
        <v>155</v>
      </c>
      <c r="F28">
        <v>90</v>
      </c>
      <c r="G28" s="4" t="s">
        <v>10</v>
      </c>
      <c r="H28">
        <v>37.460978147762745</v>
      </c>
    </row>
    <row r="29" spans="1:8" x14ac:dyDescent="0.2">
      <c r="A29" s="4" t="s">
        <v>278</v>
      </c>
      <c r="B29" s="4" t="s">
        <v>279</v>
      </c>
      <c r="C29" s="4" t="s">
        <v>13</v>
      </c>
      <c r="D29">
        <v>35</v>
      </c>
      <c r="E29">
        <v>161</v>
      </c>
      <c r="F29">
        <v>101</v>
      </c>
      <c r="G29" s="4" t="s">
        <v>10</v>
      </c>
      <c r="H29">
        <v>38.964546120905823</v>
      </c>
    </row>
    <row r="30" spans="1:8" x14ac:dyDescent="0.2">
      <c r="A30" s="4" t="s">
        <v>280</v>
      </c>
      <c r="B30" s="4" t="s">
        <v>281</v>
      </c>
      <c r="C30" s="4" t="s">
        <v>13</v>
      </c>
      <c r="D30">
        <v>25</v>
      </c>
      <c r="E30">
        <v>159</v>
      </c>
      <c r="F30">
        <v>63</v>
      </c>
      <c r="G30" s="4" t="s">
        <v>14</v>
      </c>
      <c r="H30">
        <v>24.919900320398717</v>
      </c>
    </row>
    <row r="31" spans="1:8" x14ac:dyDescent="0.2">
      <c r="A31" s="4" t="s">
        <v>282</v>
      </c>
      <c r="B31" s="4" t="s">
        <v>283</v>
      </c>
      <c r="C31" s="4" t="s">
        <v>9</v>
      </c>
      <c r="D31">
        <v>25</v>
      </c>
      <c r="E31">
        <v>155</v>
      </c>
      <c r="F31">
        <v>107</v>
      </c>
      <c r="G31" s="4" t="s">
        <v>17</v>
      </c>
      <c r="H31">
        <v>44.536940686784597</v>
      </c>
    </row>
    <row r="32" spans="1:8" x14ac:dyDescent="0.2">
      <c r="A32" s="4" t="s">
        <v>284</v>
      </c>
      <c r="B32" s="4" t="s">
        <v>285</v>
      </c>
      <c r="C32" s="4" t="s">
        <v>9</v>
      </c>
      <c r="D32">
        <v>49</v>
      </c>
      <c r="E32">
        <v>188</v>
      </c>
      <c r="F32">
        <v>119</v>
      </c>
      <c r="G32" s="4" t="s">
        <v>10</v>
      </c>
      <c r="H32">
        <v>33.669081032141243</v>
      </c>
    </row>
    <row r="33" spans="1:8" x14ac:dyDescent="0.2">
      <c r="A33" s="4" t="s">
        <v>286</v>
      </c>
      <c r="B33" s="4" t="s">
        <v>287</v>
      </c>
      <c r="C33" s="4" t="s">
        <v>9</v>
      </c>
      <c r="D33">
        <v>43</v>
      </c>
      <c r="E33">
        <v>188</v>
      </c>
      <c r="F33">
        <v>104</v>
      </c>
      <c r="G33" s="4" t="s">
        <v>17</v>
      </c>
      <c r="H33">
        <v>29.425079221367138</v>
      </c>
    </row>
    <row r="34" spans="1:8" x14ac:dyDescent="0.2">
      <c r="A34" s="4" t="s">
        <v>288</v>
      </c>
      <c r="B34" s="4" t="s">
        <v>289</v>
      </c>
      <c r="C34" s="4" t="s">
        <v>13</v>
      </c>
      <c r="D34">
        <v>27</v>
      </c>
      <c r="E34">
        <v>181</v>
      </c>
      <c r="F34">
        <v>88</v>
      </c>
      <c r="G34" s="4" t="s">
        <v>10</v>
      </c>
      <c r="H34">
        <v>26.861206922865602</v>
      </c>
    </row>
    <row r="35" spans="1:8" x14ac:dyDescent="0.2">
      <c r="A35" s="4" t="s">
        <v>290</v>
      </c>
      <c r="B35" s="4" t="s">
        <v>291</v>
      </c>
      <c r="C35" s="4" t="s">
        <v>13</v>
      </c>
      <c r="D35">
        <v>28</v>
      </c>
      <c r="E35">
        <v>155</v>
      </c>
      <c r="F35">
        <v>52</v>
      </c>
      <c r="G35" s="4" t="s">
        <v>22</v>
      </c>
      <c r="H35">
        <v>21.644120707596251</v>
      </c>
    </row>
    <row r="36" spans="1:8" x14ac:dyDescent="0.2">
      <c r="A36" s="4" t="s">
        <v>292</v>
      </c>
      <c r="B36" s="4" t="s">
        <v>293</v>
      </c>
      <c r="C36" s="4" t="s">
        <v>13</v>
      </c>
      <c r="D36">
        <v>54</v>
      </c>
      <c r="E36">
        <v>163</v>
      </c>
      <c r="F36">
        <v>84</v>
      </c>
      <c r="G36" s="4" t="s">
        <v>10</v>
      </c>
      <c r="H36">
        <v>31.615792841281195</v>
      </c>
    </row>
    <row r="37" spans="1:8" x14ac:dyDescent="0.2">
      <c r="A37" s="4" t="s">
        <v>294</v>
      </c>
      <c r="B37" s="4" t="s">
        <v>295</v>
      </c>
      <c r="C37" s="4" t="s">
        <v>9</v>
      </c>
      <c r="D37">
        <v>20</v>
      </c>
      <c r="E37">
        <v>182</v>
      </c>
      <c r="F37">
        <v>80</v>
      </c>
      <c r="G37" s="4" t="s">
        <v>10</v>
      </c>
      <c r="H37">
        <v>24.151672503320853</v>
      </c>
    </row>
    <row r="38" spans="1:8" x14ac:dyDescent="0.2">
      <c r="A38" s="4" t="s">
        <v>296</v>
      </c>
      <c r="B38" s="4" t="s">
        <v>297</v>
      </c>
      <c r="C38" s="4" t="s">
        <v>13</v>
      </c>
      <c r="D38">
        <v>58</v>
      </c>
      <c r="E38">
        <v>197</v>
      </c>
      <c r="F38">
        <v>97</v>
      </c>
      <c r="G38" s="4" t="s">
        <v>17</v>
      </c>
      <c r="H38">
        <v>24.994202375737586</v>
      </c>
    </row>
    <row r="39" spans="1:8" x14ac:dyDescent="0.2">
      <c r="A39" s="4" t="s">
        <v>298</v>
      </c>
      <c r="B39" s="4" t="s">
        <v>299</v>
      </c>
      <c r="C39" s="4" t="s">
        <v>9</v>
      </c>
      <c r="D39">
        <v>23</v>
      </c>
      <c r="E39">
        <v>193</v>
      </c>
      <c r="F39">
        <v>114</v>
      </c>
      <c r="G39" s="4" t="s">
        <v>17</v>
      </c>
      <c r="H39">
        <v>30.604848452307447</v>
      </c>
    </row>
    <row r="40" spans="1:8" x14ac:dyDescent="0.2">
      <c r="A40" s="4" t="s">
        <v>300</v>
      </c>
      <c r="B40" s="4" t="s">
        <v>301</v>
      </c>
      <c r="C40" s="4" t="s">
        <v>13</v>
      </c>
      <c r="D40">
        <v>49</v>
      </c>
      <c r="E40">
        <v>187</v>
      </c>
      <c r="F40">
        <v>95</v>
      </c>
      <c r="G40" s="4" t="s">
        <v>14</v>
      </c>
      <c r="H40">
        <v>27.166919271354622</v>
      </c>
    </row>
    <row r="41" spans="1:8" x14ac:dyDescent="0.2">
      <c r="A41" s="4" t="s">
        <v>302</v>
      </c>
      <c r="B41" s="4" t="s">
        <v>303</v>
      </c>
      <c r="C41" s="4" t="s">
        <v>9</v>
      </c>
      <c r="D41">
        <v>52</v>
      </c>
      <c r="E41">
        <v>194</v>
      </c>
      <c r="F41">
        <v>66</v>
      </c>
      <c r="G41" s="4" t="s">
        <v>10</v>
      </c>
      <c r="H41">
        <v>17.53640131788713</v>
      </c>
    </row>
    <row r="42" spans="1:8" x14ac:dyDescent="0.2">
      <c r="A42" s="4" t="s">
        <v>304</v>
      </c>
      <c r="B42" s="4" t="s">
        <v>305</v>
      </c>
      <c r="C42" s="4" t="s">
        <v>9</v>
      </c>
      <c r="D42">
        <v>51</v>
      </c>
      <c r="E42">
        <v>197</v>
      </c>
      <c r="F42">
        <v>83</v>
      </c>
      <c r="G42" s="4" t="s">
        <v>10</v>
      </c>
      <c r="H42">
        <v>21.386791723569274</v>
      </c>
    </row>
    <row r="43" spans="1:8" x14ac:dyDescent="0.2">
      <c r="A43" s="4" t="s">
        <v>306</v>
      </c>
      <c r="B43" s="4" t="s">
        <v>307</v>
      </c>
      <c r="C43" s="4" t="s">
        <v>13</v>
      </c>
      <c r="D43">
        <v>43</v>
      </c>
      <c r="E43">
        <v>187</v>
      </c>
      <c r="F43">
        <v>93</v>
      </c>
      <c r="G43" s="4" t="s">
        <v>22</v>
      </c>
      <c r="H43">
        <v>26.594984128799791</v>
      </c>
    </row>
    <row r="44" spans="1:8" x14ac:dyDescent="0.2">
      <c r="A44" s="4" t="s">
        <v>308</v>
      </c>
      <c r="B44" s="4" t="s">
        <v>309</v>
      </c>
      <c r="C44" s="4" t="s">
        <v>9</v>
      </c>
      <c r="D44">
        <v>23</v>
      </c>
      <c r="E44">
        <v>161</v>
      </c>
      <c r="F44">
        <v>56</v>
      </c>
      <c r="G44" s="4" t="s">
        <v>14</v>
      </c>
      <c r="H44">
        <v>21.60410477990818</v>
      </c>
    </row>
    <row r="45" spans="1:8" x14ac:dyDescent="0.2">
      <c r="A45" s="4" t="s">
        <v>310</v>
      </c>
      <c r="B45" s="4" t="s">
        <v>311</v>
      </c>
      <c r="C45" s="4" t="s">
        <v>13</v>
      </c>
      <c r="D45">
        <v>52</v>
      </c>
      <c r="E45">
        <v>187</v>
      </c>
      <c r="F45">
        <v>50</v>
      </c>
      <c r="G45" s="4" t="s">
        <v>22</v>
      </c>
      <c r="H45">
        <v>14.298378563870855</v>
      </c>
    </row>
    <row r="46" spans="1:8" x14ac:dyDescent="0.2">
      <c r="A46" s="4" t="s">
        <v>312</v>
      </c>
      <c r="B46" s="4" t="s">
        <v>313</v>
      </c>
      <c r="C46" s="4" t="s">
        <v>9</v>
      </c>
      <c r="D46">
        <v>27</v>
      </c>
      <c r="E46">
        <v>190</v>
      </c>
      <c r="F46">
        <v>71</v>
      </c>
      <c r="G46" s="4" t="s">
        <v>10</v>
      </c>
      <c r="H46">
        <v>19.667590027700832</v>
      </c>
    </row>
    <row r="47" spans="1:8" x14ac:dyDescent="0.2">
      <c r="A47" s="4" t="s">
        <v>314</v>
      </c>
      <c r="B47" s="4" t="s">
        <v>315</v>
      </c>
      <c r="C47" s="4" t="s">
        <v>13</v>
      </c>
      <c r="D47">
        <v>18</v>
      </c>
      <c r="E47">
        <v>178</v>
      </c>
      <c r="F47">
        <v>116</v>
      </c>
      <c r="G47" s="4" t="s">
        <v>14</v>
      </c>
      <c r="H47">
        <v>36.611538947102638</v>
      </c>
    </row>
    <row r="48" spans="1:8" x14ac:dyDescent="0.2">
      <c r="A48" s="4" t="s">
        <v>316</v>
      </c>
      <c r="B48" s="4" t="s">
        <v>317</v>
      </c>
      <c r="C48" s="4" t="s">
        <v>13</v>
      </c>
      <c r="D48">
        <v>27</v>
      </c>
      <c r="E48">
        <v>185</v>
      </c>
      <c r="F48">
        <v>55</v>
      </c>
      <c r="G48" s="4" t="s">
        <v>17</v>
      </c>
      <c r="H48">
        <v>16.070124178232284</v>
      </c>
    </row>
    <row r="49" spans="1:8" x14ac:dyDescent="0.2">
      <c r="A49" s="4" t="s">
        <v>318</v>
      </c>
      <c r="B49" s="4" t="s">
        <v>319</v>
      </c>
      <c r="C49" s="4" t="s">
        <v>9</v>
      </c>
      <c r="D49">
        <v>23</v>
      </c>
      <c r="E49">
        <v>168</v>
      </c>
      <c r="F49">
        <v>68</v>
      </c>
      <c r="G49" s="4" t="s">
        <v>22</v>
      </c>
      <c r="H49">
        <v>24.092970521541954</v>
      </c>
    </row>
    <row r="50" spans="1:8" x14ac:dyDescent="0.2">
      <c r="A50" s="4" t="s">
        <v>320</v>
      </c>
      <c r="B50" s="4" t="s">
        <v>321</v>
      </c>
      <c r="C50" s="4" t="s">
        <v>13</v>
      </c>
      <c r="D50">
        <v>50</v>
      </c>
      <c r="E50">
        <v>178</v>
      </c>
      <c r="F50">
        <v>53</v>
      </c>
      <c r="G50" s="4" t="s">
        <v>14</v>
      </c>
      <c r="H50">
        <v>16.72768589824517</v>
      </c>
    </row>
    <row r="51" spans="1:8" x14ac:dyDescent="0.2">
      <c r="A51" s="4" t="s">
        <v>322</v>
      </c>
      <c r="B51" s="4" t="s">
        <v>323</v>
      </c>
      <c r="C51" s="4" t="s">
        <v>13</v>
      </c>
      <c r="D51">
        <v>40</v>
      </c>
      <c r="E51">
        <v>193</v>
      </c>
      <c r="F51">
        <v>99</v>
      </c>
      <c r="G51" s="4" t="s">
        <v>22</v>
      </c>
      <c r="H51">
        <v>26.577894708582782</v>
      </c>
    </row>
    <row r="52" spans="1:8" x14ac:dyDescent="0.2">
      <c r="A52" s="4" t="s">
        <v>324</v>
      </c>
      <c r="B52" s="4" t="s">
        <v>325</v>
      </c>
      <c r="C52" s="4" t="s">
        <v>9</v>
      </c>
      <c r="D52">
        <v>43</v>
      </c>
      <c r="E52">
        <v>161</v>
      </c>
      <c r="F52">
        <v>66</v>
      </c>
      <c r="G52" s="4" t="s">
        <v>22</v>
      </c>
      <c r="H52">
        <v>25.461980633463213</v>
      </c>
    </row>
    <row r="53" spans="1:8" x14ac:dyDescent="0.2">
      <c r="A53" s="4" t="s">
        <v>326</v>
      </c>
      <c r="B53" s="4" t="s">
        <v>327</v>
      </c>
      <c r="C53" s="4" t="s">
        <v>9</v>
      </c>
      <c r="D53">
        <v>57</v>
      </c>
      <c r="E53">
        <v>176</v>
      </c>
      <c r="F53">
        <v>55</v>
      </c>
      <c r="G53" s="4" t="s">
        <v>17</v>
      </c>
      <c r="H53">
        <v>17.75568181818182</v>
      </c>
    </row>
    <row r="54" spans="1:8" x14ac:dyDescent="0.2">
      <c r="A54" s="4" t="s">
        <v>328</v>
      </c>
      <c r="B54" s="4" t="s">
        <v>329</v>
      </c>
      <c r="C54" s="4" t="s">
        <v>13</v>
      </c>
      <c r="D54">
        <v>47</v>
      </c>
      <c r="E54">
        <v>182</v>
      </c>
      <c r="F54">
        <v>97</v>
      </c>
      <c r="G54" s="4" t="s">
        <v>22</v>
      </c>
      <c r="H54">
        <v>29.283902910276534</v>
      </c>
    </row>
    <row r="55" spans="1:8" x14ac:dyDescent="0.2">
      <c r="A55" s="4" t="s">
        <v>330</v>
      </c>
      <c r="B55" s="4" t="s">
        <v>331</v>
      </c>
      <c r="C55" s="4" t="s">
        <v>13</v>
      </c>
      <c r="D55">
        <v>46</v>
      </c>
      <c r="E55">
        <v>186</v>
      </c>
      <c r="F55">
        <v>117</v>
      </c>
      <c r="G55" s="4" t="s">
        <v>14</v>
      </c>
      <c r="H55">
        <v>33.818938605619145</v>
      </c>
    </row>
    <row r="56" spans="1:8" x14ac:dyDescent="0.2">
      <c r="A56" s="4" t="s">
        <v>332</v>
      </c>
      <c r="B56" s="4" t="s">
        <v>333</v>
      </c>
      <c r="C56" s="4" t="s">
        <v>9</v>
      </c>
      <c r="D56">
        <v>55</v>
      </c>
      <c r="E56">
        <v>186</v>
      </c>
      <c r="F56">
        <v>75</v>
      </c>
      <c r="G56" s="4" t="s">
        <v>10</v>
      </c>
      <c r="H56">
        <v>21.678806798473808</v>
      </c>
    </row>
    <row r="57" spans="1:8" x14ac:dyDescent="0.2">
      <c r="A57" s="4" t="s">
        <v>334</v>
      </c>
      <c r="B57" s="4" t="s">
        <v>335</v>
      </c>
      <c r="C57" s="4" t="s">
        <v>9</v>
      </c>
      <c r="D57">
        <v>34</v>
      </c>
      <c r="E57">
        <v>179</v>
      </c>
      <c r="F57">
        <v>71</v>
      </c>
      <c r="G57" s="4" t="s">
        <v>10</v>
      </c>
      <c r="H57">
        <v>22.15910864205237</v>
      </c>
    </row>
    <row r="58" spans="1:8" x14ac:dyDescent="0.2">
      <c r="A58" s="4" t="s">
        <v>336</v>
      </c>
      <c r="B58" s="4" t="s">
        <v>337</v>
      </c>
      <c r="C58" s="4" t="s">
        <v>9</v>
      </c>
      <c r="D58">
        <v>31</v>
      </c>
      <c r="E58">
        <v>176</v>
      </c>
      <c r="F58">
        <v>117</v>
      </c>
      <c r="G58" s="4" t="s">
        <v>10</v>
      </c>
      <c r="H58">
        <v>37.771177685950413</v>
      </c>
    </row>
    <row r="59" spans="1:8" x14ac:dyDescent="0.2">
      <c r="A59" s="4" t="s">
        <v>338</v>
      </c>
      <c r="B59" s="4" t="s">
        <v>339</v>
      </c>
      <c r="C59" s="4" t="s">
        <v>13</v>
      </c>
      <c r="D59">
        <v>50</v>
      </c>
      <c r="E59">
        <v>184</v>
      </c>
      <c r="F59">
        <v>65</v>
      </c>
      <c r="G59" s="4" t="s">
        <v>10</v>
      </c>
      <c r="H59">
        <v>19.198960302457465</v>
      </c>
    </row>
    <row r="60" spans="1:8" x14ac:dyDescent="0.2">
      <c r="A60" s="4" t="s">
        <v>340</v>
      </c>
      <c r="B60" s="4" t="s">
        <v>341</v>
      </c>
      <c r="C60" s="4" t="s">
        <v>9</v>
      </c>
      <c r="D60">
        <v>50</v>
      </c>
      <c r="E60">
        <v>190</v>
      </c>
      <c r="F60">
        <v>117</v>
      </c>
      <c r="G60" s="4" t="s">
        <v>14</v>
      </c>
      <c r="H60">
        <v>32.409972299168977</v>
      </c>
    </row>
    <row r="61" spans="1:8" x14ac:dyDescent="0.2">
      <c r="A61" s="4" t="s">
        <v>342</v>
      </c>
      <c r="B61" s="4" t="s">
        <v>343</v>
      </c>
      <c r="C61" s="4" t="s">
        <v>13</v>
      </c>
      <c r="D61">
        <v>24</v>
      </c>
      <c r="E61">
        <v>168</v>
      </c>
      <c r="F61">
        <v>51</v>
      </c>
      <c r="G61" s="4" t="s">
        <v>17</v>
      </c>
      <c r="H61">
        <v>18.069727891156464</v>
      </c>
    </row>
    <row r="62" spans="1:8" x14ac:dyDescent="0.2">
      <c r="A62" s="4" t="s">
        <v>344</v>
      </c>
      <c r="B62" s="4" t="s">
        <v>345</v>
      </c>
      <c r="C62" s="4" t="s">
        <v>9</v>
      </c>
      <c r="D62">
        <v>49</v>
      </c>
      <c r="E62">
        <v>156</v>
      </c>
      <c r="F62">
        <v>66</v>
      </c>
      <c r="G62" s="4" t="s">
        <v>22</v>
      </c>
      <c r="H62">
        <v>27.12031558185404</v>
      </c>
    </row>
    <row r="63" spans="1:8" x14ac:dyDescent="0.2">
      <c r="A63" s="4" t="s">
        <v>346</v>
      </c>
      <c r="B63" s="4" t="s">
        <v>347</v>
      </c>
      <c r="C63" s="4" t="s">
        <v>13</v>
      </c>
      <c r="D63">
        <v>43</v>
      </c>
      <c r="E63">
        <v>190</v>
      </c>
      <c r="F63">
        <v>85</v>
      </c>
      <c r="G63" s="4" t="s">
        <v>22</v>
      </c>
      <c r="H63">
        <v>23.545706371191137</v>
      </c>
    </row>
    <row r="64" spans="1:8" x14ac:dyDescent="0.2">
      <c r="A64" s="4" t="s">
        <v>348</v>
      </c>
      <c r="B64" s="4" t="s">
        <v>349</v>
      </c>
      <c r="C64" s="4" t="s">
        <v>9</v>
      </c>
      <c r="D64">
        <v>29</v>
      </c>
      <c r="E64">
        <v>167</v>
      </c>
      <c r="F64">
        <v>109</v>
      </c>
      <c r="G64" s="4" t="s">
        <v>10</v>
      </c>
      <c r="H64">
        <v>39.083509627451683</v>
      </c>
    </row>
    <row r="65" spans="1:8" x14ac:dyDescent="0.2">
      <c r="A65" s="4" t="s">
        <v>350</v>
      </c>
      <c r="B65" s="4" t="s">
        <v>351</v>
      </c>
      <c r="C65" s="4" t="s">
        <v>13</v>
      </c>
      <c r="D65">
        <v>23</v>
      </c>
      <c r="E65">
        <v>178</v>
      </c>
      <c r="F65">
        <v>88</v>
      </c>
      <c r="G65" s="4" t="s">
        <v>10</v>
      </c>
      <c r="H65">
        <v>27.774270925388208</v>
      </c>
    </row>
    <row r="66" spans="1:8" x14ac:dyDescent="0.2">
      <c r="A66" s="4" t="s">
        <v>352</v>
      </c>
      <c r="B66" s="4" t="s">
        <v>353</v>
      </c>
      <c r="C66" s="4" t="s">
        <v>13</v>
      </c>
      <c r="D66">
        <v>59</v>
      </c>
      <c r="E66">
        <v>163</v>
      </c>
      <c r="F66">
        <v>100</v>
      </c>
      <c r="G66" s="4" t="s">
        <v>17</v>
      </c>
      <c r="H66">
        <v>37.637848620572854</v>
      </c>
    </row>
    <row r="67" spans="1:8" x14ac:dyDescent="0.2">
      <c r="A67" s="4" t="s">
        <v>354</v>
      </c>
      <c r="B67" s="4" t="s">
        <v>355</v>
      </c>
      <c r="C67" s="4" t="s">
        <v>13</v>
      </c>
      <c r="D67">
        <v>48</v>
      </c>
      <c r="E67">
        <v>186</v>
      </c>
      <c r="F67">
        <v>91</v>
      </c>
      <c r="G67" s="4" t="s">
        <v>17</v>
      </c>
      <c r="H67">
        <v>26.303618915481554</v>
      </c>
    </row>
    <row r="68" spans="1:8" x14ac:dyDescent="0.2">
      <c r="A68" s="4" t="s">
        <v>356</v>
      </c>
      <c r="B68" s="4" t="s">
        <v>357</v>
      </c>
      <c r="C68" s="4" t="s">
        <v>9</v>
      </c>
      <c r="D68">
        <v>31</v>
      </c>
      <c r="E68">
        <v>183</v>
      </c>
      <c r="F68">
        <v>99</v>
      </c>
      <c r="G68" s="4" t="s">
        <v>14</v>
      </c>
      <c r="H68">
        <v>29.561945713517868</v>
      </c>
    </row>
    <row r="69" spans="1:8" x14ac:dyDescent="0.2">
      <c r="A69" s="4" t="s">
        <v>358</v>
      </c>
      <c r="B69" s="4" t="s">
        <v>359</v>
      </c>
      <c r="C69" s="4" t="s">
        <v>13</v>
      </c>
      <c r="D69">
        <v>29</v>
      </c>
      <c r="E69">
        <v>171</v>
      </c>
      <c r="F69">
        <v>72</v>
      </c>
      <c r="G69" s="4" t="s">
        <v>10</v>
      </c>
      <c r="H69">
        <v>24.622960911049557</v>
      </c>
    </row>
    <row r="70" spans="1:8" x14ac:dyDescent="0.2">
      <c r="A70" s="4" t="s">
        <v>360</v>
      </c>
      <c r="B70" s="4" t="s">
        <v>361</v>
      </c>
      <c r="C70" s="4" t="s">
        <v>9</v>
      </c>
      <c r="D70">
        <v>35</v>
      </c>
      <c r="E70">
        <v>186</v>
      </c>
      <c r="F70">
        <v>67</v>
      </c>
      <c r="G70" s="4" t="s">
        <v>17</v>
      </c>
      <c r="H70">
        <v>19.366400739969936</v>
      </c>
    </row>
    <row r="71" spans="1:8" x14ac:dyDescent="0.2">
      <c r="A71" s="4" t="s">
        <v>362</v>
      </c>
      <c r="B71" s="4" t="s">
        <v>363</v>
      </c>
      <c r="C71" s="4" t="s">
        <v>9</v>
      </c>
      <c r="D71">
        <v>42</v>
      </c>
      <c r="E71">
        <v>194</v>
      </c>
      <c r="F71">
        <v>68</v>
      </c>
      <c r="G71" s="4" t="s">
        <v>22</v>
      </c>
      <c r="H71">
        <v>18.067807418429165</v>
      </c>
    </row>
    <row r="72" spans="1:8" x14ac:dyDescent="0.2">
      <c r="A72" s="4" t="s">
        <v>364</v>
      </c>
      <c r="B72" s="4" t="s">
        <v>365</v>
      </c>
      <c r="C72" s="4" t="s">
        <v>13</v>
      </c>
      <c r="D72">
        <v>42</v>
      </c>
      <c r="E72">
        <v>164</v>
      </c>
      <c r="F72">
        <v>70</v>
      </c>
      <c r="G72" s="4" t="s">
        <v>22</v>
      </c>
      <c r="H72">
        <v>26.026174895895306</v>
      </c>
    </row>
    <row r="73" spans="1:8" x14ac:dyDescent="0.2">
      <c r="A73" s="4" t="s">
        <v>366</v>
      </c>
      <c r="B73" s="4" t="s">
        <v>367</v>
      </c>
      <c r="C73" s="4" t="s">
        <v>9</v>
      </c>
      <c r="D73">
        <v>56</v>
      </c>
      <c r="E73">
        <v>187</v>
      </c>
      <c r="F73">
        <v>94</v>
      </c>
      <c r="G73" s="4" t="s">
        <v>17</v>
      </c>
      <c r="H73">
        <v>26.880951700077208</v>
      </c>
    </row>
    <row r="74" spans="1:8" x14ac:dyDescent="0.2">
      <c r="A74" s="4" t="s">
        <v>368</v>
      </c>
      <c r="B74" s="4" t="s">
        <v>369</v>
      </c>
      <c r="C74" s="4" t="s">
        <v>9</v>
      </c>
      <c r="D74">
        <v>40</v>
      </c>
      <c r="E74">
        <v>173</v>
      </c>
      <c r="F74">
        <v>76</v>
      </c>
      <c r="G74" s="4" t="s">
        <v>14</v>
      </c>
      <c r="H74">
        <v>25.393431120318084</v>
      </c>
    </row>
    <row r="75" spans="1:8" x14ac:dyDescent="0.2">
      <c r="A75" s="4" t="s">
        <v>370</v>
      </c>
      <c r="B75" s="4" t="s">
        <v>371</v>
      </c>
      <c r="C75" s="4" t="s">
        <v>13</v>
      </c>
      <c r="D75">
        <v>19</v>
      </c>
      <c r="E75">
        <v>192</v>
      </c>
      <c r="F75">
        <v>110</v>
      </c>
      <c r="G75" s="4" t="s">
        <v>17</v>
      </c>
      <c r="H75">
        <v>29.839409722222221</v>
      </c>
    </row>
    <row r="76" spans="1:8" x14ac:dyDescent="0.2">
      <c r="A76" s="4" t="s">
        <v>372</v>
      </c>
      <c r="B76" s="4" t="s">
        <v>373</v>
      </c>
      <c r="C76" s="4" t="s">
        <v>9</v>
      </c>
      <c r="D76">
        <v>29</v>
      </c>
      <c r="E76">
        <v>197</v>
      </c>
      <c r="F76">
        <v>92</v>
      </c>
      <c r="G76" s="4" t="s">
        <v>10</v>
      </c>
      <c r="H76">
        <v>23.705841428534619</v>
      </c>
    </row>
    <row r="77" spans="1:8" x14ac:dyDescent="0.2">
      <c r="A77" s="4" t="s">
        <v>374</v>
      </c>
      <c r="B77" s="4" t="s">
        <v>375</v>
      </c>
      <c r="C77" s="4" t="s">
        <v>9</v>
      </c>
      <c r="D77">
        <v>60</v>
      </c>
      <c r="E77">
        <v>162</v>
      </c>
      <c r="F77">
        <v>115</v>
      </c>
      <c r="G77" s="4" t="s">
        <v>22</v>
      </c>
      <c r="H77">
        <v>43.819539704313357</v>
      </c>
    </row>
    <row r="78" spans="1:8" x14ac:dyDescent="0.2">
      <c r="A78" s="4" t="s">
        <v>376</v>
      </c>
      <c r="B78" s="4" t="s">
        <v>377</v>
      </c>
      <c r="C78" s="4" t="s">
        <v>13</v>
      </c>
      <c r="D78">
        <v>19</v>
      </c>
      <c r="E78">
        <v>160</v>
      </c>
      <c r="F78">
        <v>82</v>
      </c>
      <c r="G78" s="4" t="s">
        <v>17</v>
      </c>
      <c r="H78">
        <v>32.031249999999993</v>
      </c>
    </row>
    <row r="79" spans="1:8" x14ac:dyDescent="0.2">
      <c r="A79" s="4" t="s">
        <v>378</v>
      </c>
      <c r="B79" s="4" t="s">
        <v>379</v>
      </c>
      <c r="C79" s="4" t="s">
        <v>13</v>
      </c>
      <c r="D79">
        <v>27</v>
      </c>
      <c r="E79">
        <v>168</v>
      </c>
      <c r="F79">
        <v>101</v>
      </c>
      <c r="G79" s="4" t="s">
        <v>22</v>
      </c>
      <c r="H79">
        <v>35.785147392290256</v>
      </c>
    </row>
    <row r="80" spans="1:8" x14ac:dyDescent="0.2">
      <c r="A80" s="4" t="s">
        <v>380</v>
      </c>
      <c r="B80" s="4" t="s">
        <v>381</v>
      </c>
      <c r="C80" s="4" t="s">
        <v>9</v>
      </c>
      <c r="D80">
        <v>42</v>
      </c>
      <c r="E80">
        <v>197</v>
      </c>
      <c r="F80">
        <v>113</v>
      </c>
      <c r="G80" s="4" t="s">
        <v>17</v>
      </c>
      <c r="H80">
        <v>29.116957406787087</v>
      </c>
    </row>
    <row r="81" spans="1:8" x14ac:dyDescent="0.2">
      <c r="A81" s="4" t="s">
        <v>382</v>
      </c>
      <c r="B81" s="4" t="s">
        <v>383</v>
      </c>
      <c r="C81" s="4" t="s">
        <v>9</v>
      </c>
      <c r="D81">
        <v>27</v>
      </c>
      <c r="E81">
        <v>182</v>
      </c>
      <c r="F81">
        <v>94</v>
      </c>
      <c r="G81" s="4" t="s">
        <v>17</v>
      </c>
      <c r="H81">
        <v>28.378215191402003</v>
      </c>
    </row>
    <row r="82" spans="1:8" x14ac:dyDescent="0.2">
      <c r="A82" s="4" t="s">
        <v>384</v>
      </c>
      <c r="B82" s="4" t="s">
        <v>385</v>
      </c>
      <c r="C82" s="4" t="s">
        <v>9</v>
      </c>
      <c r="D82">
        <v>54</v>
      </c>
      <c r="E82">
        <v>171</v>
      </c>
      <c r="F82">
        <v>96</v>
      </c>
      <c r="G82" s="4" t="s">
        <v>17</v>
      </c>
      <c r="H82">
        <v>32.830614548066073</v>
      </c>
    </row>
    <row r="83" spans="1:8" x14ac:dyDescent="0.2">
      <c r="A83" s="4" t="s">
        <v>386</v>
      </c>
      <c r="B83" s="4" t="s">
        <v>387</v>
      </c>
      <c r="C83" s="4" t="s">
        <v>9</v>
      </c>
      <c r="D83">
        <v>19</v>
      </c>
      <c r="E83">
        <v>189</v>
      </c>
      <c r="F83">
        <v>85</v>
      </c>
      <c r="G83" s="4" t="s">
        <v>14</v>
      </c>
      <c r="H83">
        <v>23.795526441029089</v>
      </c>
    </row>
    <row r="84" spans="1:8" x14ac:dyDescent="0.2">
      <c r="A84" s="4" t="s">
        <v>388</v>
      </c>
      <c r="B84" s="4" t="s">
        <v>383</v>
      </c>
      <c r="C84" s="4" t="s">
        <v>9</v>
      </c>
      <c r="D84">
        <v>52</v>
      </c>
      <c r="E84">
        <v>157</v>
      </c>
      <c r="F84">
        <v>112</v>
      </c>
      <c r="G84" s="4" t="s">
        <v>14</v>
      </c>
      <c r="H84">
        <v>45.437948801168403</v>
      </c>
    </row>
    <row r="85" spans="1:8" x14ac:dyDescent="0.2">
      <c r="A85" s="4" t="s">
        <v>389</v>
      </c>
      <c r="B85" s="4" t="s">
        <v>390</v>
      </c>
      <c r="C85" s="4" t="s">
        <v>13</v>
      </c>
      <c r="D85">
        <v>33</v>
      </c>
      <c r="E85">
        <v>169</v>
      </c>
      <c r="F85">
        <v>64</v>
      </c>
      <c r="G85" s="4" t="s">
        <v>22</v>
      </c>
      <c r="H85">
        <v>22.408178985329648</v>
      </c>
    </row>
    <row r="86" spans="1:8" x14ac:dyDescent="0.2">
      <c r="A86" s="4" t="s">
        <v>391</v>
      </c>
      <c r="B86" s="4" t="s">
        <v>392</v>
      </c>
      <c r="C86" s="4" t="s">
        <v>9</v>
      </c>
      <c r="D86">
        <v>35</v>
      </c>
      <c r="E86">
        <v>182</v>
      </c>
      <c r="F86">
        <v>65</v>
      </c>
      <c r="G86" s="4" t="s">
        <v>10</v>
      </c>
      <c r="H86">
        <v>19.623233908948194</v>
      </c>
    </row>
    <row r="87" spans="1:8" x14ac:dyDescent="0.2">
      <c r="A87" s="4" t="s">
        <v>393</v>
      </c>
      <c r="B87" s="4" t="s">
        <v>394</v>
      </c>
      <c r="C87" s="4" t="s">
        <v>13</v>
      </c>
      <c r="D87">
        <v>52</v>
      </c>
      <c r="E87">
        <v>159</v>
      </c>
      <c r="F87">
        <v>78</v>
      </c>
      <c r="G87" s="4" t="s">
        <v>10</v>
      </c>
      <c r="H87">
        <v>30.853209920493647</v>
      </c>
    </row>
    <row r="88" spans="1:8" x14ac:dyDescent="0.2">
      <c r="A88" s="4" t="s">
        <v>395</v>
      </c>
      <c r="B88" s="4" t="s">
        <v>396</v>
      </c>
      <c r="C88" s="4" t="s">
        <v>9</v>
      </c>
      <c r="D88">
        <v>49</v>
      </c>
      <c r="E88">
        <v>189</v>
      </c>
      <c r="F88">
        <v>107</v>
      </c>
      <c r="G88" s="4" t="s">
        <v>22</v>
      </c>
      <c r="H88">
        <v>29.954368578707204</v>
      </c>
    </row>
    <row r="89" spans="1:8" x14ac:dyDescent="0.2">
      <c r="A89" s="4" t="s">
        <v>397</v>
      </c>
      <c r="B89" s="4" t="s">
        <v>398</v>
      </c>
      <c r="C89" s="4" t="s">
        <v>9</v>
      </c>
      <c r="D89">
        <v>45</v>
      </c>
      <c r="E89">
        <v>188</v>
      </c>
      <c r="F89">
        <v>72</v>
      </c>
      <c r="G89" s="4" t="s">
        <v>17</v>
      </c>
      <c r="H89">
        <v>20.371208691715712</v>
      </c>
    </row>
    <row r="90" spans="1:8" x14ac:dyDescent="0.2">
      <c r="A90" s="4" t="s">
        <v>399</v>
      </c>
      <c r="B90" s="4" t="s">
        <v>400</v>
      </c>
      <c r="C90" s="4" t="s">
        <v>9</v>
      </c>
      <c r="D90">
        <v>22</v>
      </c>
      <c r="E90">
        <v>175</v>
      </c>
      <c r="F90">
        <v>120</v>
      </c>
      <c r="G90" s="4" t="s">
        <v>10</v>
      </c>
      <c r="H90">
        <v>39.183673469387756</v>
      </c>
    </row>
    <row r="91" spans="1:8" x14ac:dyDescent="0.2">
      <c r="A91" s="4" t="s">
        <v>401</v>
      </c>
      <c r="B91" s="4" t="s">
        <v>402</v>
      </c>
      <c r="C91" s="4" t="s">
        <v>13</v>
      </c>
      <c r="D91">
        <v>28</v>
      </c>
      <c r="E91">
        <v>177</v>
      </c>
      <c r="F91">
        <v>94</v>
      </c>
      <c r="G91" s="4" t="s">
        <v>10</v>
      </c>
      <c r="H91">
        <v>30.004149510038619</v>
      </c>
    </row>
    <row r="92" spans="1:8" x14ac:dyDescent="0.2">
      <c r="A92" s="4" t="s">
        <v>403</v>
      </c>
      <c r="B92" s="4" t="s">
        <v>404</v>
      </c>
      <c r="C92" s="4" t="s">
        <v>13</v>
      </c>
      <c r="D92">
        <v>45</v>
      </c>
      <c r="E92">
        <v>167</v>
      </c>
      <c r="F92">
        <v>52</v>
      </c>
      <c r="G92" s="4" t="s">
        <v>17</v>
      </c>
      <c r="H92">
        <v>18.645344042454013</v>
      </c>
    </row>
    <row r="93" spans="1:8" x14ac:dyDescent="0.2">
      <c r="A93" s="4" t="s">
        <v>405</v>
      </c>
      <c r="B93" s="4" t="s">
        <v>406</v>
      </c>
      <c r="C93" s="4" t="s">
        <v>13</v>
      </c>
      <c r="D93">
        <v>24</v>
      </c>
      <c r="E93">
        <v>191</v>
      </c>
      <c r="F93">
        <v>117</v>
      </c>
      <c r="G93" s="4" t="s">
        <v>17</v>
      </c>
      <c r="H93">
        <v>32.071489268386287</v>
      </c>
    </row>
    <row r="94" spans="1:8" x14ac:dyDescent="0.2">
      <c r="A94" s="4" t="s">
        <v>407</v>
      </c>
      <c r="B94" s="4" t="s">
        <v>408</v>
      </c>
      <c r="C94" s="4" t="s">
        <v>13</v>
      </c>
      <c r="D94">
        <v>54</v>
      </c>
      <c r="E94">
        <v>175</v>
      </c>
      <c r="F94">
        <v>71</v>
      </c>
      <c r="G94" s="4" t="s">
        <v>17</v>
      </c>
      <c r="H94">
        <v>23.183673469387756</v>
      </c>
    </row>
    <row r="95" spans="1:8" x14ac:dyDescent="0.2">
      <c r="A95" s="4" t="s">
        <v>409</v>
      </c>
      <c r="B95" s="4" t="s">
        <v>410</v>
      </c>
      <c r="C95" s="4" t="s">
        <v>9</v>
      </c>
      <c r="D95">
        <v>20</v>
      </c>
      <c r="E95">
        <v>196</v>
      </c>
      <c r="F95">
        <v>77</v>
      </c>
      <c r="G95" s="4" t="s">
        <v>10</v>
      </c>
      <c r="H95">
        <v>20.043731778425659</v>
      </c>
    </row>
    <row r="96" spans="1:8" x14ac:dyDescent="0.2">
      <c r="A96" s="4" t="s">
        <v>411</v>
      </c>
      <c r="B96" s="4" t="s">
        <v>412</v>
      </c>
      <c r="C96" s="4" t="s">
        <v>9</v>
      </c>
      <c r="D96">
        <v>45</v>
      </c>
      <c r="E96">
        <v>163</v>
      </c>
      <c r="F96">
        <v>80</v>
      </c>
      <c r="G96" s="4" t="s">
        <v>17</v>
      </c>
      <c r="H96">
        <v>30.110278896458279</v>
      </c>
    </row>
    <row r="97" spans="1:8" x14ac:dyDescent="0.2">
      <c r="A97" s="4" t="s">
        <v>413</v>
      </c>
      <c r="B97" s="4" t="s">
        <v>414</v>
      </c>
      <c r="C97" s="4" t="s">
        <v>13</v>
      </c>
      <c r="D97">
        <v>31</v>
      </c>
      <c r="E97">
        <v>178</v>
      </c>
      <c r="F97">
        <v>104</v>
      </c>
      <c r="G97" s="4" t="s">
        <v>10</v>
      </c>
      <c r="H97">
        <v>32.824138366367883</v>
      </c>
    </row>
    <row r="98" spans="1:8" x14ac:dyDescent="0.2">
      <c r="A98" s="4" t="s">
        <v>415</v>
      </c>
      <c r="B98" s="4" t="s">
        <v>416</v>
      </c>
      <c r="C98" s="4" t="s">
        <v>13</v>
      </c>
      <c r="D98">
        <v>44</v>
      </c>
      <c r="E98">
        <v>175</v>
      </c>
      <c r="F98">
        <v>99</v>
      </c>
      <c r="G98" s="4" t="s">
        <v>22</v>
      </c>
      <c r="H98">
        <v>32.326530612244895</v>
      </c>
    </row>
    <row r="99" spans="1:8" x14ac:dyDescent="0.2">
      <c r="A99" s="4" t="s">
        <v>417</v>
      </c>
      <c r="B99" s="4" t="s">
        <v>418</v>
      </c>
      <c r="C99" s="4" t="s">
        <v>13</v>
      </c>
      <c r="D99">
        <v>34</v>
      </c>
      <c r="E99">
        <v>185</v>
      </c>
      <c r="F99">
        <v>115</v>
      </c>
      <c r="G99" s="4" t="s">
        <v>10</v>
      </c>
      <c r="H99">
        <v>33.601168736303869</v>
      </c>
    </row>
    <row r="100" spans="1:8" x14ac:dyDescent="0.2">
      <c r="A100" s="4" t="s">
        <v>419</v>
      </c>
      <c r="B100" s="4" t="s">
        <v>420</v>
      </c>
      <c r="C100" s="4" t="s">
        <v>9</v>
      </c>
      <c r="D100">
        <v>34</v>
      </c>
      <c r="E100">
        <v>197</v>
      </c>
      <c r="F100">
        <v>117</v>
      </c>
      <c r="G100" s="4" t="s">
        <v>10</v>
      </c>
      <c r="H100">
        <v>30.14764616454946</v>
      </c>
    </row>
    <row r="101" spans="1:8" x14ac:dyDescent="0.2">
      <c r="A101" s="4" t="s">
        <v>421</v>
      </c>
      <c r="B101" s="4" t="s">
        <v>422</v>
      </c>
      <c r="C101" s="4" t="s">
        <v>9</v>
      </c>
      <c r="D101">
        <v>49</v>
      </c>
      <c r="E101">
        <v>164</v>
      </c>
      <c r="F101">
        <v>103</v>
      </c>
      <c r="G101" s="4" t="s">
        <v>22</v>
      </c>
      <c r="H101">
        <v>38.295657346817379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8D7F-5793-4EB3-BD6B-DEEC7BCD7618}">
  <dimension ref="A1:E101"/>
  <sheetViews>
    <sheetView topLeftCell="A70" workbookViewId="0">
      <selection activeCell="B1" sqref="B1:B101"/>
    </sheetView>
  </sheetViews>
  <sheetFormatPr defaultRowHeight="14.25" x14ac:dyDescent="0.2"/>
  <cols>
    <col min="1" max="1" width="9.25" bestFit="1" customWidth="1"/>
    <col min="2" max="2" width="6.125" bestFit="1" customWidth="1"/>
    <col min="3" max="3" width="8.5" bestFit="1" customWidth="1"/>
    <col min="4" max="4" width="7.5" bestFit="1" customWidth="1"/>
    <col min="5" max="5" width="9.5" bestFit="1" customWidth="1"/>
  </cols>
  <sheetData>
    <row r="1" spans="1:5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s="4" t="s">
        <v>9</v>
      </c>
      <c r="B2">
        <v>40</v>
      </c>
      <c r="C2">
        <v>193</v>
      </c>
      <c r="D2">
        <v>116</v>
      </c>
      <c r="E2" s="4" t="s">
        <v>22</v>
      </c>
    </row>
    <row r="3" spans="1:5" x14ac:dyDescent="0.2">
      <c r="A3" s="4" t="s">
        <v>9</v>
      </c>
      <c r="B3">
        <v>31</v>
      </c>
      <c r="C3">
        <v>175</v>
      </c>
      <c r="D3">
        <v>81</v>
      </c>
      <c r="E3" s="4" t="s">
        <v>10</v>
      </c>
    </row>
    <row r="4" spans="1:5" x14ac:dyDescent="0.2">
      <c r="A4" s="4" t="s">
        <v>9</v>
      </c>
      <c r="B4">
        <v>41</v>
      </c>
      <c r="C4">
        <v>193</v>
      </c>
      <c r="D4">
        <v>65</v>
      </c>
      <c r="E4" s="4" t="s">
        <v>22</v>
      </c>
    </row>
    <row r="5" spans="1:5" x14ac:dyDescent="0.2">
      <c r="A5" s="4" t="s">
        <v>13</v>
      </c>
      <c r="B5">
        <v>18</v>
      </c>
      <c r="C5">
        <v>165</v>
      </c>
      <c r="D5">
        <v>69</v>
      </c>
      <c r="E5" s="4" t="s">
        <v>10</v>
      </c>
    </row>
    <row r="6" spans="1:5" x14ac:dyDescent="0.2">
      <c r="A6" s="4" t="s">
        <v>13</v>
      </c>
      <c r="B6">
        <v>26</v>
      </c>
      <c r="C6">
        <v>189</v>
      </c>
      <c r="D6">
        <v>56</v>
      </c>
      <c r="E6" s="4" t="s">
        <v>10</v>
      </c>
    </row>
    <row r="7" spans="1:5" x14ac:dyDescent="0.2">
      <c r="A7" s="4" t="s">
        <v>13</v>
      </c>
      <c r="B7">
        <v>43</v>
      </c>
      <c r="C7">
        <v>190</v>
      </c>
      <c r="D7">
        <v>106</v>
      </c>
      <c r="E7" s="4" t="s">
        <v>22</v>
      </c>
    </row>
    <row r="8" spans="1:5" x14ac:dyDescent="0.2">
      <c r="A8" s="4" t="s">
        <v>9</v>
      </c>
      <c r="B8">
        <v>50</v>
      </c>
      <c r="C8">
        <v>195</v>
      </c>
      <c r="D8">
        <v>119</v>
      </c>
      <c r="E8" s="4" t="s">
        <v>17</v>
      </c>
    </row>
    <row r="9" spans="1:5" x14ac:dyDescent="0.2">
      <c r="A9" s="4" t="s">
        <v>9</v>
      </c>
      <c r="B9">
        <v>58</v>
      </c>
      <c r="C9">
        <v>169</v>
      </c>
      <c r="D9">
        <v>92</v>
      </c>
      <c r="E9" s="4" t="s">
        <v>10</v>
      </c>
    </row>
    <row r="10" spans="1:5" x14ac:dyDescent="0.2">
      <c r="A10" s="4" t="s">
        <v>13</v>
      </c>
      <c r="B10">
        <v>48</v>
      </c>
      <c r="C10">
        <v>185</v>
      </c>
      <c r="D10">
        <v>103</v>
      </c>
      <c r="E10" s="4" t="s">
        <v>10</v>
      </c>
    </row>
    <row r="11" spans="1:5" x14ac:dyDescent="0.2">
      <c r="A11" s="4" t="s">
        <v>9</v>
      </c>
      <c r="B11">
        <v>46</v>
      </c>
      <c r="C11">
        <v>157</v>
      </c>
      <c r="D11">
        <v>95</v>
      </c>
      <c r="E11" s="4" t="s">
        <v>22</v>
      </c>
    </row>
    <row r="12" spans="1:5" x14ac:dyDescent="0.2">
      <c r="A12" s="4" t="s">
        <v>13</v>
      </c>
      <c r="B12">
        <v>58</v>
      </c>
      <c r="C12">
        <v>192</v>
      </c>
      <c r="D12">
        <v>60</v>
      </c>
      <c r="E12" s="4" t="s">
        <v>14</v>
      </c>
    </row>
    <row r="13" spans="1:5" x14ac:dyDescent="0.2">
      <c r="A13" s="4" t="s">
        <v>9</v>
      </c>
      <c r="B13">
        <v>56</v>
      </c>
      <c r="C13">
        <v>190</v>
      </c>
      <c r="D13">
        <v>73</v>
      </c>
      <c r="E13" s="4" t="s">
        <v>17</v>
      </c>
    </row>
    <row r="14" spans="1:5" x14ac:dyDescent="0.2">
      <c r="A14" s="4" t="s">
        <v>13</v>
      </c>
      <c r="B14">
        <v>34</v>
      </c>
      <c r="C14">
        <v>182</v>
      </c>
      <c r="D14">
        <v>91</v>
      </c>
      <c r="E14" s="4" t="s">
        <v>17</v>
      </c>
    </row>
    <row r="15" spans="1:5" x14ac:dyDescent="0.2">
      <c r="A15" s="4" t="s">
        <v>13</v>
      </c>
      <c r="B15">
        <v>26</v>
      </c>
      <c r="C15">
        <v>168</v>
      </c>
      <c r="D15">
        <v>54</v>
      </c>
      <c r="E15" s="4" t="s">
        <v>14</v>
      </c>
    </row>
    <row r="16" spans="1:5" x14ac:dyDescent="0.2">
      <c r="A16" s="4" t="s">
        <v>9</v>
      </c>
      <c r="B16">
        <v>21</v>
      </c>
      <c r="C16">
        <v>169</v>
      </c>
      <c r="D16">
        <v>109</v>
      </c>
      <c r="E16" s="4" t="s">
        <v>10</v>
      </c>
    </row>
    <row r="17" spans="1:5" x14ac:dyDescent="0.2">
      <c r="A17" s="4" t="s">
        <v>9</v>
      </c>
      <c r="B17">
        <v>37</v>
      </c>
      <c r="C17">
        <v>183</v>
      </c>
      <c r="D17">
        <v>64</v>
      </c>
      <c r="E17" s="4" t="s">
        <v>10</v>
      </c>
    </row>
    <row r="18" spans="1:5" x14ac:dyDescent="0.2">
      <c r="A18" s="4" t="s">
        <v>13</v>
      </c>
      <c r="B18">
        <v>38</v>
      </c>
      <c r="C18">
        <v>190</v>
      </c>
      <c r="D18">
        <v>66</v>
      </c>
      <c r="E18" s="4" t="s">
        <v>22</v>
      </c>
    </row>
    <row r="19" spans="1:5" x14ac:dyDescent="0.2">
      <c r="A19" s="4" t="s">
        <v>9</v>
      </c>
      <c r="B19">
        <v>58</v>
      </c>
      <c r="C19">
        <v>182</v>
      </c>
      <c r="D19">
        <v>73</v>
      </c>
      <c r="E19" s="4" t="s">
        <v>22</v>
      </c>
    </row>
    <row r="20" spans="1:5" x14ac:dyDescent="0.2">
      <c r="A20" s="4" t="s">
        <v>13</v>
      </c>
      <c r="B20">
        <v>54</v>
      </c>
      <c r="C20">
        <v>165</v>
      </c>
      <c r="D20">
        <v>75</v>
      </c>
      <c r="E20" s="4" t="s">
        <v>22</v>
      </c>
    </row>
    <row r="21" spans="1:5" x14ac:dyDescent="0.2">
      <c r="A21" s="4" t="s">
        <v>9</v>
      </c>
      <c r="B21">
        <v>42</v>
      </c>
      <c r="C21">
        <v>159</v>
      </c>
      <c r="D21">
        <v>73</v>
      </c>
      <c r="E21" s="4" t="s">
        <v>14</v>
      </c>
    </row>
    <row r="22" spans="1:5" x14ac:dyDescent="0.2">
      <c r="A22" s="4" t="s">
        <v>9</v>
      </c>
      <c r="B22">
        <v>33</v>
      </c>
      <c r="C22">
        <v>155</v>
      </c>
      <c r="D22">
        <v>114</v>
      </c>
      <c r="E22" s="4" t="s">
        <v>14</v>
      </c>
    </row>
    <row r="23" spans="1:5" x14ac:dyDescent="0.2">
      <c r="A23" s="4" t="s">
        <v>13</v>
      </c>
      <c r="B23">
        <v>33</v>
      </c>
      <c r="C23">
        <v>196</v>
      </c>
      <c r="D23">
        <v>52</v>
      </c>
      <c r="E23" s="4" t="s">
        <v>14</v>
      </c>
    </row>
    <row r="24" spans="1:5" x14ac:dyDescent="0.2">
      <c r="A24" s="4" t="s">
        <v>9</v>
      </c>
      <c r="B24">
        <v>29</v>
      </c>
      <c r="C24">
        <v>168</v>
      </c>
      <c r="D24">
        <v>52</v>
      </c>
      <c r="E24" s="4" t="s">
        <v>14</v>
      </c>
    </row>
    <row r="25" spans="1:5" x14ac:dyDescent="0.2">
      <c r="A25" s="4" t="s">
        <v>13</v>
      </c>
      <c r="B25">
        <v>27</v>
      </c>
      <c r="C25">
        <v>197</v>
      </c>
      <c r="D25">
        <v>73</v>
      </c>
      <c r="E25" s="4" t="s">
        <v>17</v>
      </c>
    </row>
    <row r="26" spans="1:5" x14ac:dyDescent="0.2">
      <c r="A26" s="4" t="s">
        <v>13</v>
      </c>
      <c r="B26">
        <v>53</v>
      </c>
      <c r="C26">
        <v>185</v>
      </c>
      <c r="D26">
        <v>113</v>
      </c>
      <c r="E26" s="4" t="s">
        <v>17</v>
      </c>
    </row>
    <row r="27" spans="1:5" x14ac:dyDescent="0.2">
      <c r="A27" s="4" t="s">
        <v>9</v>
      </c>
      <c r="B27">
        <v>34</v>
      </c>
      <c r="C27">
        <v>186</v>
      </c>
      <c r="D27">
        <v>106</v>
      </c>
      <c r="E27" s="4" t="s">
        <v>14</v>
      </c>
    </row>
    <row r="28" spans="1:5" x14ac:dyDescent="0.2">
      <c r="A28" s="4" t="s">
        <v>9</v>
      </c>
      <c r="B28">
        <v>46</v>
      </c>
      <c r="C28">
        <v>155</v>
      </c>
      <c r="D28">
        <v>90</v>
      </c>
      <c r="E28" s="4" t="s">
        <v>10</v>
      </c>
    </row>
    <row r="29" spans="1:5" x14ac:dyDescent="0.2">
      <c r="A29" s="4" t="s">
        <v>13</v>
      </c>
      <c r="B29">
        <v>35</v>
      </c>
      <c r="C29">
        <v>161</v>
      </c>
      <c r="D29">
        <v>101</v>
      </c>
      <c r="E29" s="4" t="s">
        <v>10</v>
      </c>
    </row>
    <row r="30" spans="1:5" x14ac:dyDescent="0.2">
      <c r="A30" s="4" t="s">
        <v>13</v>
      </c>
      <c r="B30">
        <v>25</v>
      </c>
      <c r="C30">
        <v>159</v>
      </c>
      <c r="D30">
        <v>63</v>
      </c>
      <c r="E30" s="4" t="s">
        <v>14</v>
      </c>
    </row>
    <row r="31" spans="1:5" x14ac:dyDescent="0.2">
      <c r="A31" s="4" t="s">
        <v>9</v>
      </c>
      <c r="B31">
        <v>25</v>
      </c>
      <c r="C31">
        <v>155</v>
      </c>
      <c r="D31">
        <v>107</v>
      </c>
      <c r="E31" s="4" t="s">
        <v>17</v>
      </c>
    </row>
    <row r="32" spans="1:5" x14ac:dyDescent="0.2">
      <c r="A32" s="4" t="s">
        <v>9</v>
      </c>
      <c r="B32">
        <v>49</v>
      </c>
      <c r="C32">
        <v>188</v>
      </c>
      <c r="D32">
        <v>119</v>
      </c>
      <c r="E32" s="4" t="s">
        <v>10</v>
      </c>
    </row>
    <row r="33" spans="1:5" x14ac:dyDescent="0.2">
      <c r="A33" s="4" t="s">
        <v>9</v>
      </c>
      <c r="B33">
        <v>43</v>
      </c>
      <c r="C33">
        <v>188</v>
      </c>
      <c r="D33">
        <v>104</v>
      </c>
      <c r="E33" s="4" t="s">
        <v>17</v>
      </c>
    </row>
    <row r="34" spans="1:5" x14ac:dyDescent="0.2">
      <c r="A34" s="4" t="s">
        <v>13</v>
      </c>
      <c r="B34">
        <v>27</v>
      </c>
      <c r="C34">
        <v>181</v>
      </c>
      <c r="D34">
        <v>88</v>
      </c>
      <c r="E34" s="4" t="s">
        <v>10</v>
      </c>
    </row>
    <row r="35" spans="1:5" x14ac:dyDescent="0.2">
      <c r="A35" s="4" t="s">
        <v>13</v>
      </c>
      <c r="B35">
        <v>28</v>
      </c>
      <c r="C35">
        <v>155</v>
      </c>
      <c r="D35">
        <v>52</v>
      </c>
      <c r="E35" s="4" t="s">
        <v>22</v>
      </c>
    </row>
    <row r="36" spans="1:5" x14ac:dyDescent="0.2">
      <c r="A36" s="4" t="s">
        <v>13</v>
      </c>
      <c r="B36">
        <v>54</v>
      </c>
      <c r="C36">
        <v>163</v>
      </c>
      <c r="D36">
        <v>84</v>
      </c>
      <c r="E36" s="4" t="s">
        <v>10</v>
      </c>
    </row>
    <row r="37" spans="1:5" x14ac:dyDescent="0.2">
      <c r="A37" s="4" t="s">
        <v>9</v>
      </c>
      <c r="B37">
        <v>20</v>
      </c>
      <c r="C37">
        <v>182</v>
      </c>
      <c r="D37">
        <v>80</v>
      </c>
      <c r="E37" s="4" t="s">
        <v>10</v>
      </c>
    </row>
    <row r="38" spans="1:5" x14ac:dyDescent="0.2">
      <c r="A38" s="4" t="s">
        <v>13</v>
      </c>
      <c r="B38">
        <v>58</v>
      </c>
      <c r="C38">
        <v>197</v>
      </c>
      <c r="D38">
        <v>97</v>
      </c>
      <c r="E38" s="4" t="s">
        <v>17</v>
      </c>
    </row>
    <row r="39" spans="1:5" x14ac:dyDescent="0.2">
      <c r="A39" s="4" t="s">
        <v>9</v>
      </c>
      <c r="B39">
        <v>23</v>
      </c>
      <c r="C39">
        <v>193</v>
      </c>
      <c r="D39">
        <v>114</v>
      </c>
      <c r="E39" s="4" t="s">
        <v>17</v>
      </c>
    </row>
    <row r="40" spans="1:5" x14ac:dyDescent="0.2">
      <c r="A40" s="4" t="s">
        <v>13</v>
      </c>
      <c r="B40">
        <v>49</v>
      </c>
      <c r="C40">
        <v>187</v>
      </c>
      <c r="D40">
        <v>95</v>
      </c>
      <c r="E40" s="4" t="s">
        <v>14</v>
      </c>
    </row>
    <row r="41" spans="1:5" x14ac:dyDescent="0.2">
      <c r="A41" s="4" t="s">
        <v>9</v>
      </c>
      <c r="B41">
        <v>52</v>
      </c>
      <c r="C41">
        <v>194</v>
      </c>
      <c r="D41">
        <v>66</v>
      </c>
      <c r="E41" s="4" t="s">
        <v>10</v>
      </c>
    </row>
    <row r="42" spans="1:5" x14ac:dyDescent="0.2">
      <c r="A42" s="4" t="s">
        <v>9</v>
      </c>
      <c r="B42">
        <v>51</v>
      </c>
      <c r="C42">
        <v>197</v>
      </c>
      <c r="D42">
        <v>83</v>
      </c>
      <c r="E42" s="4" t="s">
        <v>10</v>
      </c>
    </row>
    <row r="43" spans="1:5" x14ac:dyDescent="0.2">
      <c r="A43" s="4" t="s">
        <v>13</v>
      </c>
      <c r="B43">
        <v>43</v>
      </c>
      <c r="C43">
        <v>187</v>
      </c>
      <c r="D43">
        <v>93</v>
      </c>
      <c r="E43" s="4" t="s">
        <v>22</v>
      </c>
    </row>
    <row r="44" spans="1:5" x14ac:dyDescent="0.2">
      <c r="A44" s="4" t="s">
        <v>9</v>
      </c>
      <c r="B44">
        <v>23</v>
      </c>
      <c r="C44">
        <v>161</v>
      </c>
      <c r="D44">
        <v>56</v>
      </c>
      <c r="E44" s="4" t="s">
        <v>14</v>
      </c>
    </row>
    <row r="45" spans="1:5" x14ac:dyDescent="0.2">
      <c r="A45" s="4" t="s">
        <v>13</v>
      </c>
      <c r="B45">
        <v>52</v>
      </c>
      <c r="C45">
        <v>187</v>
      </c>
      <c r="D45">
        <v>50</v>
      </c>
      <c r="E45" s="4" t="s">
        <v>22</v>
      </c>
    </row>
    <row r="46" spans="1:5" x14ac:dyDescent="0.2">
      <c r="A46" s="4" t="s">
        <v>9</v>
      </c>
      <c r="B46">
        <v>27</v>
      </c>
      <c r="C46">
        <v>190</v>
      </c>
      <c r="D46">
        <v>71</v>
      </c>
      <c r="E46" s="4" t="s">
        <v>10</v>
      </c>
    </row>
    <row r="47" spans="1:5" x14ac:dyDescent="0.2">
      <c r="A47" s="4" t="s">
        <v>13</v>
      </c>
      <c r="B47">
        <v>18</v>
      </c>
      <c r="C47">
        <v>178</v>
      </c>
      <c r="D47">
        <v>116</v>
      </c>
      <c r="E47" s="4" t="s">
        <v>14</v>
      </c>
    </row>
    <row r="48" spans="1:5" x14ac:dyDescent="0.2">
      <c r="A48" s="4" t="s">
        <v>13</v>
      </c>
      <c r="B48">
        <v>27</v>
      </c>
      <c r="C48">
        <v>185</v>
      </c>
      <c r="D48">
        <v>55</v>
      </c>
      <c r="E48" s="4" t="s">
        <v>17</v>
      </c>
    </row>
    <row r="49" spans="1:5" x14ac:dyDescent="0.2">
      <c r="A49" s="4" t="s">
        <v>9</v>
      </c>
      <c r="B49">
        <v>23</v>
      </c>
      <c r="C49">
        <v>168</v>
      </c>
      <c r="D49">
        <v>68</v>
      </c>
      <c r="E49" s="4" t="s">
        <v>22</v>
      </c>
    </row>
    <row r="50" spans="1:5" x14ac:dyDescent="0.2">
      <c r="A50" s="4" t="s">
        <v>13</v>
      </c>
      <c r="B50">
        <v>50</v>
      </c>
      <c r="C50">
        <v>178</v>
      </c>
      <c r="D50">
        <v>53</v>
      </c>
      <c r="E50" s="4" t="s">
        <v>14</v>
      </c>
    </row>
    <row r="51" spans="1:5" x14ac:dyDescent="0.2">
      <c r="A51" s="4" t="s">
        <v>13</v>
      </c>
      <c r="B51">
        <v>40</v>
      </c>
      <c r="C51">
        <v>193</v>
      </c>
      <c r="D51">
        <v>99</v>
      </c>
      <c r="E51" s="4" t="s">
        <v>22</v>
      </c>
    </row>
    <row r="52" spans="1:5" x14ac:dyDescent="0.2">
      <c r="A52" s="4" t="s">
        <v>9</v>
      </c>
      <c r="B52">
        <v>43</v>
      </c>
      <c r="C52">
        <v>161</v>
      </c>
      <c r="D52">
        <v>66</v>
      </c>
      <c r="E52" s="4" t="s">
        <v>22</v>
      </c>
    </row>
    <row r="53" spans="1:5" x14ac:dyDescent="0.2">
      <c r="A53" s="4" t="s">
        <v>9</v>
      </c>
      <c r="B53">
        <v>57</v>
      </c>
      <c r="C53">
        <v>176</v>
      </c>
      <c r="D53">
        <v>55</v>
      </c>
      <c r="E53" s="4" t="s">
        <v>17</v>
      </c>
    </row>
    <row r="54" spans="1:5" x14ac:dyDescent="0.2">
      <c r="A54" s="4" t="s">
        <v>13</v>
      </c>
      <c r="B54">
        <v>47</v>
      </c>
      <c r="C54">
        <v>182</v>
      </c>
      <c r="D54">
        <v>97</v>
      </c>
      <c r="E54" s="4" t="s">
        <v>22</v>
      </c>
    </row>
    <row r="55" spans="1:5" x14ac:dyDescent="0.2">
      <c r="A55" s="4" t="s">
        <v>13</v>
      </c>
      <c r="B55">
        <v>46</v>
      </c>
      <c r="C55">
        <v>186</v>
      </c>
      <c r="D55">
        <v>117</v>
      </c>
      <c r="E55" s="4" t="s">
        <v>14</v>
      </c>
    </row>
    <row r="56" spans="1:5" x14ac:dyDescent="0.2">
      <c r="A56" s="4" t="s">
        <v>9</v>
      </c>
      <c r="B56">
        <v>55</v>
      </c>
      <c r="C56">
        <v>186</v>
      </c>
      <c r="D56">
        <v>75</v>
      </c>
      <c r="E56" s="4" t="s">
        <v>10</v>
      </c>
    </row>
    <row r="57" spans="1:5" x14ac:dyDescent="0.2">
      <c r="A57" s="4" t="s">
        <v>9</v>
      </c>
      <c r="B57">
        <v>34</v>
      </c>
      <c r="C57">
        <v>179</v>
      </c>
      <c r="D57">
        <v>71</v>
      </c>
      <c r="E57" s="4" t="s">
        <v>10</v>
      </c>
    </row>
    <row r="58" spans="1:5" x14ac:dyDescent="0.2">
      <c r="A58" s="4" t="s">
        <v>9</v>
      </c>
      <c r="B58">
        <v>31</v>
      </c>
      <c r="C58">
        <v>176</v>
      </c>
      <c r="D58">
        <v>117</v>
      </c>
      <c r="E58" s="4" t="s">
        <v>10</v>
      </c>
    </row>
    <row r="59" spans="1:5" x14ac:dyDescent="0.2">
      <c r="A59" s="4" t="s">
        <v>13</v>
      </c>
      <c r="B59">
        <v>50</v>
      </c>
      <c r="C59">
        <v>184</v>
      </c>
      <c r="D59">
        <v>65</v>
      </c>
      <c r="E59" s="4" t="s">
        <v>10</v>
      </c>
    </row>
    <row r="60" spans="1:5" x14ac:dyDescent="0.2">
      <c r="A60" s="4" t="s">
        <v>9</v>
      </c>
      <c r="B60">
        <v>50</v>
      </c>
      <c r="C60">
        <v>190</v>
      </c>
      <c r="D60">
        <v>117</v>
      </c>
      <c r="E60" s="4" t="s">
        <v>14</v>
      </c>
    </row>
    <row r="61" spans="1:5" x14ac:dyDescent="0.2">
      <c r="A61" s="4" t="s">
        <v>13</v>
      </c>
      <c r="B61">
        <v>24</v>
      </c>
      <c r="C61">
        <v>168</v>
      </c>
      <c r="D61">
        <v>51</v>
      </c>
      <c r="E61" s="4" t="s">
        <v>17</v>
      </c>
    </row>
    <row r="62" spans="1:5" x14ac:dyDescent="0.2">
      <c r="A62" s="4" t="s">
        <v>9</v>
      </c>
      <c r="B62">
        <v>49</v>
      </c>
      <c r="C62">
        <v>156</v>
      </c>
      <c r="D62">
        <v>66</v>
      </c>
      <c r="E62" s="4" t="s">
        <v>22</v>
      </c>
    </row>
    <row r="63" spans="1:5" x14ac:dyDescent="0.2">
      <c r="A63" s="4" t="s">
        <v>13</v>
      </c>
      <c r="B63">
        <v>43</v>
      </c>
      <c r="C63">
        <v>190</v>
      </c>
      <c r="D63">
        <v>85</v>
      </c>
      <c r="E63" s="4" t="s">
        <v>22</v>
      </c>
    </row>
    <row r="64" spans="1:5" x14ac:dyDescent="0.2">
      <c r="A64" s="4" t="s">
        <v>9</v>
      </c>
      <c r="B64">
        <v>29</v>
      </c>
      <c r="C64">
        <v>167</v>
      </c>
      <c r="D64">
        <v>109</v>
      </c>
      <c r="E64" s="4" t="s">
        <v>10</v>
      </c>
    </row>
    <row r="65" spans="1:5" x14ac:dyDescent="0.2">
      <c r="A65" s="4" t="s">
        <v>13</v>
      </c>
      <c r="B65">
        <v>23</v>
      </c>
      <c r="C65">
        <v>178</v>
      </c>
      <c r="D65">
        <v>88</v>
      </c>
      <c r="E65" s="4" t="s">
        <v>10</v>
      </c>
    </row>
    <row r="66" spans="1:5" x14ac:dyDescent="0.2">
      <c r="A66" s="4" t="s">
        <v>13</v>
      </c>
      <c r="B66">
        <v>59</v>
      </c>
      <c r="C66">
        <v>163</v>
      </c>
      <c r="D66">
        <v>100</v>
      </c>
      <c r="E66" s="4" t="s">
        <v>17</v>
      </c>
    </row>
    <row r="67" spans="1:5" x14ac:dyDescent="0.2">
      <c r="A67" s="4" t="s">
        <v>13</v>
      </c>
      <c r="B67">
        <v>48</v>
      </c>
      <c r="C67">
        <v>186</v>
      </c>
      <c r="D67">
        <v>91</v>
      </c>
      <c r="E67" s="4" t="s">
        <v>17</v>
      </c>
    </row>
    <row r="68" spans="1:5" x14ac:dyDescent="0.2">
      <c r="A68" s="4" t="s">
        <v>9</v>
      </c>
      <c r="B68">
        <v>31</v>
      </c>
      <c r="C68">
        <v>183</v>
      </c>
      <c r="D68">
        <v>99</v>
      </c>
      <c r="E68" s="4" t="s">
        <v>14</v>
      </c>
    </row>
    <row r="69" spans="1:5" x14ac:dyDescent="0.2">
      <c r="A69" s="4" t="s">
        <v>13</v>
      </c>
      <c r="B69">
        <v>29</v>
      </c>
      <c r="C69">
        <v>171</v>
      </c>
      <c r="D69">
        <v>72</v>
      </c>
      <c r="E69" s="4" t="s">
        <v>10</v>
      </c>
    </row>
    <row r="70" spans="1:5" x14ac:dyDescent="0.2">
      <c r="A70" s="4" t="s">
        <v>9</v>
      </c>
      <c r="B70">
        <v>35</v>
      </c>
      <c r="C70">
        <v>186</v>
      </c>
      <c r="D70">
        <v>67</v>
      </c>
      <c r="E70" s="4" t="s">
        <v>17</v>
      </c>
    </row>
    <row r="71" spans="1:5" x14ac:dyDescent="0.2">
      <c r="A71" s="4" t="s">
        <v>9</v>
      </c>
      <c r="B71">
        <v>42</v>
      </c>
      <c r="C71">
        <v>194</v>
      </c>
      <c r="D71">
        <v>68</v>
      </c>
      <c r="E71" s="4" t="s">
        <v>22</v>
      </c>
    </row>
    <row r="72" spans="1:5" x14ac:dyDescent="0.2">
      <c r="A72" s="4" t="s">
        <v>13</v>
      </c>
      <c r="B72">
        <v>42</v>
      </c>
      <c r="C72">
        <v>164</v>
      </c>
      <c r="D72">
        <v>70</v>
      </c>
      <c r="E72" s="4" t="s">
        <v>22</v>
      </c>
    </row>
    <row r="73" spans="1:5" x14ac:dyDescent="0.2">
      <c r="A73" s="4" t="s">
        <v>9</v>
      </c>
      <c r="B73">
        <v>56</v>
      </c>
      <c r="C73">
        <v>187</v>
      </c>
      <c r="D73">
        <v>94</v>
      </c>
      <c r="E73" s="4" t="s">
        <v>17</v>
      </c>
    </row>
    <row r="74" spans="1:5" x14ac:dyDescent="0.2">
      <c r="A74" s="4" t="s">
        <v>9</v>
      </c>
      <c r="B74">
        <v>40</v>
      </c>
      <c r="C74">
        <v>173</v>
      </c>
      <c r="D74">
        <v>76</v>
      </c>
      <c r="E74" s="4" t="s">
        <v>14</v>
      </c>
    </row>
    <row r="75" spans="1:5" x14ac:dyDescent="0.2">
      <c r="A75" s="4" t="s">
        <v>13</v>
      </c>
      <c r="B75">
        <v>19</v>
      </c>
      <c r="C75">
        <v>192</v>
      </c>
      <c r="D75">
        <v>110</v>
      </c>
      <c r="E75" s="4" t="s">
        <v>17</v>
      </c>
    </row>
    <row r="76" spans="1:5" x14ac:dyDescent="0.2">
      <c r="A76" s="4" t="s">
        <v>9</v>
      </c>
      <c r="B76">
        <v>29</v>
      </c>
      <c r="C76">
        <v>197</v>
      </c>
      <c r="D76">
        <v>92</v>
      </c>
      <c r="E76" s="4" t="s">
        <v>10</v>
      </c>
    </row>
    <row r="77" spans="1:5" x14ac:dyDescent="0.2">
      <c r="A77" s="4" t="s">
        <v>9</v>
      </c>
      <c r="B77">
        <v>60</v>
      </c>
      <c r="C77">
        <v>162</v>
      </c>
      <c r="D77">
        <v>115</v>
      </c>
      <c r="E77" s="4" t="s">
        <v>22</v>
      </c>
    </row>
    <row r="78" spans="1:5" x14ac:dyDescent="0.2">
      <c r="A78" s="4" t="s">
        <v>13</v>
      </c>
      <c r="B78">
        <v>19</v>
      </c>
      <c r="C78">
        <v>160</v>
      </c>
      <c r="D78">
        <v>82</v>
      </c>
      <c r="E78" s="4" t="s">
        <v>17</v>
      </c>
    </row>
    <row r="79" spans="1:5" x14ac:dyDescent="0.2">
      <c r="A79" s="4" t="s">
        <v>13</v>
      </c>
      <c r="B79">
        <v>27</v>
      </c>
      <c r="C79">
        <v>168</v>
      </c>
      <c r="D79">
        <v>101</v>
      </c>
      <c r="E79" s="4" t="s">
        <v>22</v>
      </c>
    </row>
    <row r="80" spans="1:5" x14ac:dyDescent="0.2">
      <c r="A80" s="4" t="s">
        <v>9</v>
      </c>
      <c r="B80">
        <v>42</v>
      </c>
      <c r="C80">
        <v>197</v>
      </c>
      <c r="D80">
        <v>113</v>
      </c>
      <c r="E80" s="4" t="s">
        <v>17</v>
      </c>
    </row>
    <row r="81" spans="1:5" x14ac:dyDescent="0.2">
      <c r="A81" s="4" t="s">
        <v>9</v>
      </c>
      <c r="B81">
        <v>27</v>
      </c>
      <c r="C81">
        <v>182</v>
      </c>
      <c r="D81">
        <v>94</v>
      </c>
      <c r="E81" s="4" t="s">
        <v>17</v>
      </c>
    </row>
    <row r="82" spans="1:5" x14ac:dyDescent="0.2">
      <c r="A82" s="4" t="s">
        <v>9</v>
      </c>
      <c r="B82">
        <v>54</v>
      </c>
      <c r="C82">
        <v>171</v>
      </c>
      <c r="D82">
        <v>96</v>
      </c>
      <c r="E82" s="4" t="s">
        <v>17</v>
      </c>
    </row>
    <row r="83" spans="1:5" x14ac:dyDescent="0.2">
      <c r="A83" s="4" t="s">
        <v>9</v>
      </c>
      <c r="B83">
        <v>19</v>
      </c>
      <c r="C83">
        <v>189</v>
      </c>
      <c r="D83">
        <v>85</v>
      </c>
      <c r="E83" s="4" t="s">
        <v>14</v>
      </c>
    </row>
    <row r="84" spans="1:5" x14ac:dyDescent="0.2">
      <c r="A84" s="4" t="s">
        <v>9</v>
      </c>
      <c r="B84">
        <v>52</v>
      </c>
      <c r="C84">
        <v>157</v>
      </c>
      <c r="D84">
        <v>112</v>
      </c>
      <c r="E84" s="4" t="s">
        <v>14</v>
      </c>
    </row>
    <row r="85" spans="1:5" x14ac:dyDescent="0.2">
      <c r="A85" s="4" t="s">
        <v>13</v>
      </c>
      <c r="B85">
        <v>33</v>
      </c>
      <c r="C85">
        <v>169</v>
      </c>
      <c r="D85">
        <v>64</v>
      </c>
      <c r="E85" s="4" t="s">
        <v>22</v>
      </c>
    </row>
    <row r="86" spans="1:5" x14ac:dyDescent="0.2">
      <c r="A86" s="4" t="s">
        <v>9</v>
      </c>
      <c r="B86">
        <v>35</v>
      </c>
      <c r="C86">
        <v>182</v>
      </c>
      <c r="D86">
        <v>65</v>
      </c>
      <c r="E86" s="4" t="s">
        <v>10</v>
      </c>
    </row>
    <row r="87" spans="1:5" x14ac:dyDescent="0.2">
      <c r="A87" s="4" t="s">
        <v>13</v>
      </c>
      <c r="B87">
        <v>52</v>
      </c>
      <c r="C87">
        <v>159</v>
      </c>
      <c r="D87">
        <v>78</v>
      </c>
      <c r="E87" s="4" t="s">
        <v>10</v>
      </c>
    </row>
    <row r="88" spans="1:5" x14ac:dyDescent="0.2">
      <c r="A88" s="4" t="s">
        <v>9</v>
      </c>
      <c r="B88">
        <v>49</v>
      </c>
      <c r="C88">
        <v>189</v>
      </c>
      <c r="D88">
        <v>107</v>
      </c>
      <c r="E88" s="4" t="s">
        <v>22</v>
      </c>
    </row>
    <row r="89" spans="1:5" x14ac:dyDescent="0.2">
      <c r="A89" s="4" t="s">
        <v>9</v>
      </c>
      <c r="B89">
        <v>45</v>
      </c>
      <c r="C89">
        <v>188</v>
      </c>
      <c r="D89">
        <v>72</v>
      </c>
      <c r="E89" s="4" t="s">
        <v>17</v>
      </c>
    </row>
    <row r="90" spans="1:5" x14ac:dyDescent="0.2">
      <c r="A90" s="4" t="s">
        <v>9</v>
      </c>
      <c r="B90">
        <v>22</v>
      </c>
      <c r="C90">
        <v>175</v>
      </c>
      <c r="D90">
        <v>120</v>
      </c>
      <c r="E90" s="4" t="s">
        <v>10</v>
      </c>
    </row>
    <row r="91" spans="1:5" x14ac:dyDescent="0.2">
      <c r="A91" s="4" t="s">
        <v>13</v>
      </c>
      <c r="B91">
        <v>28</v>
      </c>
      <c r="C91">
        <v>177</v>
      </c>
      <c r="D91">
        <v>94</v>
      </c>
      <c r="E91" s="4" t="s">
        <v>10</v>
      </c>
    </row>
    <row r="92" spans="1:5" x14ac:dyDescent="0.2">
      <c r="A92" s="4" t="s">
        <v>13</v>
      </c>
      <c r="B92">
        <v>45</v>
      </c>
      <c r="C92">
        <v>167</v>
      </c>
      <c r="D92">
        <v>52</v>
      </c>
      <c r="E92" s="4" t="s">
        <v>17</v>
      </c>
    </row>
    <row r="93" spans="1:5" x14ac:dyDescent="0.2">
      <c r="A93" s="4" t="s">
        <v>13</v>
      </c>
      <c r="B93">
        <v>24</v>
      </c>
      <c r="C93">
        <v>191</v>
      </c>
      <c r="D93">
        <v>117</v>
      </c>
      <c r="E93" s="4" t="s">
        <v>17</v>
      </c>
    </row>
    <row r="94" spans="1:5" x14ac:dyDescent="0.2">
      <c r="A94" s="4" t="s">
        <v>13</v>
      </c>
      <c r="B94">
        <v>54</v>
      </c>
      <c r="C94">
        <v>175</v>
      </c>
      <c r="D94">
        <v>71</v>
      </c>
      <c r="E94" s="4" t="s">
        <v>17</v>
      </c>
    </row>
    <row r="95" spans="1:5" x14ac:dyDescent="0.2">
      <c r="A95" s="4" t="s">
        <v>9</v>
      </c>
      <c r="B95">
        <v>20</v>
      </c>
      <c r="C95">
        <v>196</v>
      </c>
      <c r="D95">
        <v>77</v>
      </c>
      <c r="E95" s="4" t="s">
        <v>10</v>
      </c>
    </row>
    <row r="96" spans="1:5" x14ac:dyDescent="0.2">
      <c r="A96" s="4" t="s">
        <v>9</v>
      </c>
      <c r="B96">
        <v>45</v>
      </c>
      <c r="C96">
        <v>163</v>
      </c>
      <c r="D96">
        <v>80</v>
      </c>
      <c r="E96" s="4" t="s">
        <v>17</v>
      </c>
    </row>
    <row r="97" spans="1:5" x14ac:dyDescent="0.2">
      <c r="A97" s="4" t="s">
        <v>13</v>
      </c>
      <c r="B97">
        <v>31</v>
      </c>
      <c r="C97">
        <v>178</v>
      </c>
      <c r="D97">
        <v>104</v>
      </c>
      <c r="E97" s="4" t="s">
        <v>10</v>
      </c>
    </row>
    <row r="98" spans="1:5" x14ac:dyDescent="0.2">
      <c r="A98" s="4" t="s">
        <v>13</v>
      </c>
      <c r="B98">
        <v>44</v>
      </c>
      <c r="C98">
        <v>175</v>
      </c>
      <c r="D98">
        <v>99</v>
      </c>
      <c r="E98" s="4" t="s">
        <v>22</v>
      </c>
    </row>
    <row r="99" spans="1:5" x14ac:dyDescent="0.2">
      <c r="A99" s="4" t="s">
        <v>13</v>
      </c>
      <c r="B99">
        <v>34</v>
      </c>
      <c r="C99">
        <v>185</v>
      </c>
      <c r="D99">
        <v>115</v>
      </c>
      <c r="E99" s="4" t="s">
        <v>10</v>
      </c>
    </row>
    <row r="100" spans="1:5" x14ac:dyDescent="0.2">
      <c r="A100" s="4" t="s">
        <v>9</v>
      </c>
      <c r="B100">
        <v>34</v>
      </c>
      <c r="C100">
        <v>197</v>
      </c>
      <c r="D100">
        <v>117</v>
      </c>
      <c r="E100" s="4" t="s">
        <v>10</v>
      </c>
    </row>
    <row r="101" spans="1:5" x14ac:dyDescent="0.2">
      <c r="A101" s="4" t="s">
        <v>9</v>
      </c>
      <c r="B101">
        <v>49</v>
      </c>
      <c r="C101">
        <v>164</v>
      </c>
      <c r="D101">
        <v>103</v>
      </c>
      <c r="E101" s="4" t="s">
        <v>22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930C-EBCD-4708-BD83-E1901DAC6FBC}">
  <dimension ref="A1:G101"/>
  <sheetViews>
    <sheetView workbookViewId="0">
      <selection activeCell="G6" sqref="G6"/>
    </sheetView>
  </sheetViews>
  <sheetFormatPr defaultRowHeight="14.25" x14ac:dyDescent="0.2"/>
  <cols>
    <col min="1" max="1" width="12.125" bestFit="1" customWidth="1"/>
    <col min="2" max="2" width="11.75" bestFit="1" customWidth="1"/>
    <col min="3" max="3" width="9.25" bestFit="1" customWidth="1"/>
    <col min="4" max="4" width="6.125" bestFit="1" customWidth="1"/>
    <col min="5" max="5" width="8.5" bestFit="1" customWidth="1"/>
    <col min="6" max="6" width="7.5" bestFit="1" customWidth="1"/>
    <col min="7" max="7" width="9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4" t="s">
        <v>225</v>
      </c>
      <c r="B2" s="4" t="s">
        <v>226</v>
      </c>
      <c r="C2" s="4" t="s">
        <v>9</v>
      </c>
      <c r="D2">
        <v>40</v>
      </c>
      <c r="E2">
        <v>193</v>
      </c>
      <c r="F2">
        <v>116</v>
      </c>
      <c r="G2" s="4" t="s">
        <v>22</v>
      </c>
    </row>
    <row r="3" spans="1:7" x14ac:dyDescent="0.2">
      <c r="A3" s="4" t="s">
        <v>227</v>
      </c>
      <c r="B3" s="4" t="s">
        <v>228</v>
      </c>
      <c r="C3" s="4" t="s">
        <v>9</v>
      </c>
      <c r="D3">
        <v>31</v>
      </c>
      <c r="E3">
        <v>175</v>
      </c>
      <c r="F3">
        <v>81</v>
      </c>
      <c r="G3" s="4" t="s">
        <v>10</v>
      </c>
    </row>
    <row r="4" spans="1:7" x14ac:dyDescent="0.2">
      <c r="A4" s="4" t="s">
        <v>229</v>
      </c>
      <c r="B4" s="4" t="s">
        <v>230</v>
      </c>
      <c r="C4" s="4" t="s">
        <v>9</v>
      </c>
      <c r="D4">
        <v>41</v>
      </c>
      <c r="E4">
        <v>193</v>
      </c>
      <c r="F4">
        <v>65</v>
      </c>
      <c r="G4" s="4" t="s">
        <v>22</v>
      </c>
    </row>
    <row r="5" spans="1:7" x14ac:dyDescent="0.2">
      <c r="A5" s="4" t="s">
        <v>231</v>
      </c>
      <c r="B5" s="4" t="s">
        <v>232</v>
      </c>
      <c r="C5" s="4" t="s">
        <v>13</v>
      </c>
      <c r="D5">
        <v>18</v>
      </c>
      <c r="E5">
        <v>165</v>
      </c>
      <c r="F5">
        <v>69</v>
      </c>
      <c r="G5" s="4" t="s">
        <v>10</v>
      </c>
    </row>
    <row r="6" spans="1:7" x14ac:dyDescent="0.2">
      <c r="A6" s="4" t="s">
        <v>233</v>
      </c>
      <c r="B6" s="4" t="s">
        <v>234</v>
      </c>
      <c r="C6" s="4" t="s">
        <v>13</v>
      </c>
      <c r="D6">
        <v>26</v>
      </c>
      <c r="E6">
        <v>189</v>
      </c>
      <c r="F6">
        <v>56</v>
      </c>
      <c r="G6" s="4" t="s">
        <v>10</v>
      </c>
    </row>
    <row r="7" spans="1:7" x14ac:dyDescent="0.2">
      <c r="A7" s="4" t="s">
        <v>235</v>
      </c>
      <c r="B7" s="4" t="s">
        <v>236</v>
      </c>
      <c r="C7" s="4" t="s">
        <v>13</v>
      </c>
      <c r="D7">
        <v>43</v>
      </c>
      <c r="E7">
        <v>190</v>
      </c>
      <c r="F7">
        <v>106</v>
      </c>
      <c r="G7" s="4" t="s">
        <v>22</v>
      </c>
    </row>
    <row r="8" spans="1:7" x14ac:dyDescent="0.2">
      <c r="A8" s="4" t="s">
        <v>237</v>
      </c>
      <c r="B8" s="4" t="s">
        <v>238</v>
      </c>
      <c r="C8" s="4" t="s">
        <v>9</v>
      </c>
      <c r="D8">
        <v>50</v>
      </c>
      <c r="E8">
        <v>195</v>
      </c>
      <c r="F8">
        <v>119</v>
      </c>
      <c r="G8" s="4" t="s">
        <v>17</v>
      </c>
    </row>
    <row r="9" spans="1:7" x14ac:dyDescent="0.2">
      <c r="A9" s="4" t="s">
        <v>239</v>
      </c>
      <c r="B9" s="4" t="s">
        <v>240</v>
      </c>
      <c r="C9" s="4" t="s">
        <v>9</v>
      </c>
      <c r="D9">
        <v>58</v>
      </c>
      <c r="E9">
        <v>169</v>
      </c>
      <c r="F9">
        <v>92</v>
      </c>
      <c r="G9" s="4" t="s">
        <v>10</v>
      </c>
    </row>
    <row r="10" spans="1:7" x14ac:dyDescent="0.2">
      <c r="A10" s="4" t="s">
        <v>241</v>
      </c>
      <c r="B10" s="4" t="s">
        <v>242</v>
      </c>
      <c r="C10" s="4" t="s">
        <v>13</v>
      </c>
      <c r="D10">
        <v>48</v>
      </c>
      <c r="E10">
        <v>185</v>
      </c>
      <c r="F10">
        <v>103</v>
      </c>
      <c r="G10" s="4" t="s">
        <v>10</v>
      </c>
    </row>
    <row r="11" spans="1:7" x14ac:dyDescent="0.2">
      <c r="A11" s="4" t="s">
        <v>243</v>
      </c>
      <c r="B11" s="4" t="s">
        <v>244</v>
      </c>
      <c r="C11" s="4" t="s">
        <v>9</v>
      </c>
      <c r="D11">
        <v>46</v>
      </c>
      <c r="E11">
        <v>157</v>
      </c>
      <c r="F11">
        <v>95</v>
      </c>
      <c r="G11" s="4" t="s">
        <v>22</v>
      </c>
    </row>
    <row r="12" spans="1:7" x14ac:dyDescent="0.2">
      <c r="A12" s="4" t="s">
        <v>245</v>
      </c>
      <c r="B12" s="4" t="s">
        <v>246</v>
      </c>
      <c r="C12" s="4" t="s">
        <v>13</v>
      </c>
      <c r="D12">
        <v>58</v>
      </c>
      <c r="E12">
        <v>192</v>
      </c>
      <c r="F12">
        <v>60</v>
      </c>
      <c r="G12" s="4" t="s">
        <v>14</v>
      </c>
    </row>
    <row r="13" spans="1:7" x14ac:dyDescent="0.2">
      <c r="A13" s="4" t="s">
        <v>247</v>
      </c>
      <c r="B13" s="4" t="s">
        <v>248</v>
      </c>
      <c r="C13" s="4" t="s">
        <v>9</v>
      </c>
      <c r="D13">
        <v>56</v>
      </c>
      <c r="E13">
        <v>190</v>
      </c>
      <c r="F13">
        <v>73</v>
      </c>
      <c r="G13" s="4" t="s">
        <v>17</v>
      </c>
    </row>
    <row r="14" spans="1:7" x14ac:dyDescent="0.2">
      <c r="A14" s="4" t="s">
        <v>249</v>
      </c>
      <c r="B14" s="4" t="s">
        <v>250</v>
      </c>
      <c r="C14" s="4" t="s">
        <v>13</v>
      </c>
      <c r="D14">
        <v>34</v>
      </c>
      <c r="E14">
        <v>182</v>
      </c>
      <c r="F14">
        <v>91</v>
      </c>
      <c r="G14" s="4" t="s">
        <v>17</v>
      </c>
    </row>
    <row r="15" spans="1:7" x14ac:dyDescent="0.2">
      <c r="A15" s="4" t="s">
        <v>251</v>
      </c>
      <c r="B15" s="4" t="s">
        <v>252</v>
      </c>
      <c r="C15" s="4" t="s">
        <v>13</v>
      </c>
      <c r="D15">
        <v>26</v>
      </c>
      <c r="E15">
        <v>168</v>
      </c>
      <c r="F15">
        <v>54</v>
      </c>
      <c r="G15" s="4" t="s">
        <v>14</v>
      </c>
    </row>
    <row r="16" spans="1:7" x14ac:dyDescent="0.2">
      <c r="A16" s="4" t="s">
        <v>253</v>
      </c>
      <c r="B16" s="4" t="s">
        <v>254</v>
      </c>
      <c r="C16" s="4" t="s">
        <v>9</v>
      </c>
      <c r="D16">
        <v>21</v>
      </c>
      <c r="E16">
        <v>169</v>
      </c>
      <c r="F16">
        <v>109</v>
      </c>
      <c r="G16" s="4" t="s">
        <v>10</v>
      </c>
    </row>
    <row r="17" spans="1:7" x14ac:dyDescent="0.2">
      <c r="A17" s="4" t="s">
        <v>255</v>
      </c>
      <c r="B17" s="4" t="s">
        <v>256</v>
      </c>
      <c r="C17" s="4" t="s">
        <v>9</v>
      </c>
      <c r="D17">
        <v>37</v>
      </c>
      <c r="E17">
        <v>183</v>
      </c>
      <c r="F17">
        <v>64</v>
      </c>
      <c r="G17" s="4" t="s">
        <v>10</v>
      </c>
    </row>
    <row r="18" spans="1:7" x14ac:dyDescent="0.2">
      <c r="A18" s="4" t="s">
        <v>257</v>
      </c>
      <c r="B18" s="4" t="s">
        <v>258</v>
      </c>
      <c r="C18" s="4" t="s">
        <v>13</v>
      </c>
      <c r="D18">
        <v>38</v>
      </c>
      <c r="E18">
        <v>190</v>
      </c>
      <c r="F18">
        <v>66</v>
      </c>
      <c r="G18" s="4" t="s">
        <v>22</v>
      </c>
    </row>
    <row r="19" spans="1:7" x14ac:dyDescent="0.2">
      <c r="A19" s="4" t="s">
        <v>259</v>
      </c>
      <c r="B19" s="4" t="s">
        <v>260</v>
      </c>
      <c r="C19" s="4" t="s">
        <v>9</v>
      </c>
      <c r="D19">
        <v>58</v>
      </c>
      <c r="E19">
        <v>182</v>
      </c>
      <c r="F19">
        <v>73</v>
      </c>
      <c r="G19" s="4" t="s">
        <v>22</v>
      </c>
    </row>
    <row r="20" spans="1:7" x14ac:dyDescent="0.2">
      <c r="A20" s="4" t="s">
        <v>261</v>
      </c>
      <c r="B20" s="4" t="s">
        <v>262</v>
      </c>
      <c r="C20" s="4" t="s">
        <v>13</v>
      </c>
      <c r="D20">
        <v>54</v>
      </c>
      <c r="E20">
        <v>165</v>
      </c>
      <c r="F20">
        <v>75</v>
      </c>
      <c r="G20" s="4" t="s">
        <v>22</v>
      </c>
    </row>
    <row r="21" spans="1:7" x14ac:dyDescent="0.2">
      <c r="A21" s="4" t="s">
        <v>263</v>
      </c>
      <c r="B21" s="4" t="s">
        <v>264</v>
      </c>
      <c r="C21" s="4" t="s">
        <v>9</v>
      </c>
      <c r="D21">
        <v>42</v>
      </c>
      <c r="E21">
        <v>159</v>
      </c>
      <c r="F21">
        <v>73</v>
      </c>
      <c r="G21" s="4" t="s">
        <v>14</v>
      </c>
    </row>
    <row r="22" spans="1:7" x14ac:dyDescent="0.2">
      <c r="A22" s="4" t="s">
        <v>265</v>
      </c>
      <c r="B22" s="4" t="s">
        <v>266</v>
      </c>
      <c r="C22" s="4" t="s">
        <v>9</v>
      </c>
      <c r="D22">
        <v>33</v>
      </c>
      <c r="E22">
        <v>155</v>
      </c>
      <c r="F22">
        <v>114</v>
      </c>
      <c r="G22" s="4" t="s">
        <v>14</v>
      </c>
    </row>
    <row r="23" spans="1:7" x14ac:dyDescent="0.2">
      <c r="A23" s="4" t="s">
        <v>267</v>
      </c>
      <c r="B23" s="4" t="s">
        <v>266</v>
      </c>
      <c r="C23" s="4" t="s">
        <v>13</v>
      </c>
      <c r="D23">
        <v>33</v>
      </c>
      <c r="E23">
        <v>196</v>
      </c>
      <c r="F23">
        <v>52</v>
      </c>
      <c r="G23" s="4" t="s">
        <v>14</v>
      </c>
    </row>
    <row r="24" spans="1:7" x14ac:dyDescent="0.2">
      <c r="A24" s="4" t="s">
        <v>268</v>
      </c>
      <c r="B24" s="4" t="s">
        <v>269</v>
      </c>
      <c r="C24" s="4" t="s">
        <v>9</v>
      </c>
      <c r="D24">
        <v>29</v>
      </c>
      <c r="E24">
        <v>168</v>
      </c>
      <c r="F24">
        <v>52</v>
      </c>
      <c r="G24" s="4" t="s">
        <v>14</v>
      </c>
    </row>
    <row r="25" spans="1:7" x14ac:dyDescent="0.2">
      <c r="A25" s="4" t="s">
        <v>270</v>
      </c>
      <c r="B25" s="4" t="s">
        <v>271</v>
      </c>
      <c r="C25" s="4" t="s">
        <v>13</v>
      </c>
      <c r="D25">
        <v>27</v>
      </c>
      <c r="E25">
        <v>197</v>
      </c>
      <c r="F25">
        <v>73</v>
      </c>
      <c r="G25" s="4" t="s">
        <v>17</v>
      </c>
    </row>
    <row r="26" spans="1:7" x14ac:dyDescent="0.2">
      <c r="A26" s="4" t="s">
        <v>272</v>
      </c>
      <c r="B26" s="4" t="s">
        <v>273</v>
      </c>
      <c r="C26" s="4" t="s">
        <v>13</v>
      </c>
      <c r="D26">
        <v>53</v>
      </c>
      <c r="E26">
        <v>185</v>
      </c>
      <c r="F26">
        <v>113</v>
      </c>
      <c r="G26" s="4" t="s">
        <v>17</v>
      </c>
    </row>
    <row r="27" spans="1:7" x14ac:dyDescent="0.2">
      <c r="A27" s="4" t="s">
        <v>274</v>
      </c>
      <c r="B27" s="4" t="s">
        <v>275</v>
      </c>
      <c r="C27" s="4" t="s">
        <v>9</v>
      </c>
      <c r="D27">
        <v>34</v>
      </c>
      <c r="E27">
        <v>186</v>
      </c>
      <c r="F27">
        <v>106</v>
      </c>
      <c r="G27" s="4" t="s">
        <v>14</v>
      </c>
    </row>
    <row r="28" spans="1:7" x14ac:dyDescent="0.2">
      <c r="A28" s="4" t="s">
        <v>276</v>
      </c>
      <c r="B28" s="4" t="s">
        <v>277</v>
      </c>
      <c r="C28" s="4" t="s">
        <v>9</v>
      </c>
      <c r="D28">
        <v>46</v>
      </c>
      <c r="E28">
        <v>155</v>
      </c>
      <c r="F28">
        <v>90</v>
      </c>
      <c r="G28" s="4" t="s">
        <v>10</v>
      </c>
    </row>
    <row r="29" spans="1:7" x14ac:dyDescent="0.2">
      <c r="A29" s="4" t="s">
        <v>278</v>
      </c>
      <c r="B29" s="4" t="s">
        <v>279</v>
      </c>
      <c r="C29" s="4" t="s">
        <v>13</v>
      </c>
      <c r="D29">
        <v>35</v>
      </c>
      <c r="E29">
        <v>161</v>
      </c>
      <c r="F29">
        <v>101</v>
      </c>
      <c r="G29" s="4" t="s">
        <v>10</v>
      </c>
    </row>
    <row r="30" spans="1:7" x14ac:dyDescent="0.2">
      <c r="A30" s="4" t="s">
        <v>280</v>
      </c>
      <c r="B30" s="4" t="s">
        <v>281</v>
      </c>
      <c r="C30" s="4" t="s">
        <v>13</v>
      </c>
      <c r="D30">
        <v>25</v>
      </c>
      <c r="E30">
        <v>159</v>
      </c>
      <c r="F30">
        <v>63</v>
      </c>
      <c r="G30" s="4" t="s">
        <v>14</v>
      </c>
    </row>
    <row r="31" spans="1:7" x14ac:dyDescent="0.2">
      <c r="A31" s="4" t="s">
        <v>282</v>
      </c>
      <c r="B31" s="4" t="s">
        <v>283</v>
      </c>
      <c r="C31" s="4" t="s">
        <v>9</v>
      </c>
      <c r="D31">
        <v>25</v>
      </c>
      <c r="E31">
        <v>155</v>
      </c>
      <c r="F31">
        <v>107</v>
      </c>
      <c r="G31" s="4" t="s">
        <v>17</v>
      </c>
    </row>
    <row r="32" spans="1:7" x14ac:dyDescent="0.2">
      <c r="A32" s="4" t="s">
        <v>284</v>
      </c>
      <c r="B32" s="4" t="s">
        <v>285</v>
      </c>
      <c r="C32" s="4" t="s">
        <v>9</v>
      </c>
      <c r="D32">
        <v>49</v>
      </c>
      <c r="E32">
        <v>188</v>
      </c>
      <c r="F32">
        <v>119</v>
      </c>
      <c r="G32" s="4" t="s">
        <v>10</v>
      </c>
    </row>
    <row r="33" spans="1:7" x14ac:dyDescent="0.2">
      <c r="A33" s="4" t="s">
        <v>286</v>
      </c>
      <c r="B33" s="4" t="s">
        <v>287</v>
      </c>
      <c r="C33" s="4" t="s">
        <v>9</v>
      </c>
      <c r="D33">
        <v>43</v>
      </c>
      <c r="E33">
        <v>188</v>
      </c>
      <c r="F33">
        <v>104</v>
      </c>
      <c r="G33" s="4" t="s">
        <v>17</v>
      </c>
    </row>
    <row r="34" spans="1:7" x14ac:dyDescent="0.2">
      <c r="A34" s="4" t="s">
        <v>288</v>
      </c>
      <c r="B34" s="4" t="s">
        <v>289</v>
      </c>
      <c r="C34" s="4" t="s">
        <v>13</v>
      </c>
      <c r="D34">
        <v>27</v>
      </c>
      <c r="E34">
        <v>181</v>
      </c>
      <c r="F34">
        <v>88</v>
      </c>
      <c r="G34" s="4" t="s">
        <v>10</v>
      </c>
    </row>
    <row r="35" spans="1:7" x14ac:dyDescent="0.2">
      <c r="A35" s="4" t="s">
        <v>290</v>
      </c>
      <c r="B35" s="4" t="s">
        <v>291</v>
      </c>
      <c r="C35" s="4" t="s">
        <v>13</v>
      </c>
      <c r="D35">
        <v>28</v>
      </c>
      <c r="E35">
        <v>155</v>
      </c>
      <c r="F35">
        <v>52</v>
      </c>
      <c r="G35" s="4" t="s">
        <v>22</v>
      </c>
    </row>
    <row r="36" spans="1:7" x14ac:dyDescent="0.2">
      <c r="A36" s="4" t="s">
        <v>292</v>
      </c>
      <c r="B36" s="4" t="s">
        <v>293</v>
      </c>
      <c r="C36" s="4" t="s">
        <v>13</v>
      </c>
      <c r="D36">
        <v>54</v>
      </c>
      <c r="E36">
        <v>163</v>
      </c>
      <c r="F36">
        <v>84</v>
      </c>
      <c r="G36" s="4" t="s">
        <v>10</v>
      </c>
    </row>
    <row r="37" spans="1:7" x14ac:dyDescent="0.2">
      <c r="A37" s="4" t="s">
        <v>294</v>
      </c>
      <c r="B37" s="4" t="s">
        <v>295</v>
      </c>
      <c r="C37" s="4" t="s">
        <v>9</v>
      </c>
      <c r="D37">
        <v>20</v>
      </c>
      <c r="E37">
        <v>182</v>
      </c>
      <c r="F37">
        <v>80</v>
      </c>
      <c r="G37" s="4" t="s">
        <v>10</v>
      </c>
    </row>
    <row r="38" spans="1:7" x14ac:dyDescent="0.2">
      <c r="A38" s="4" t="s">
        <v>296</v>
      </c>
      <c r="B38" s="4" t="s">
        <v>297</v>
      </c>
      <c r="C38" s="4" t="s">
        <v>13</v>
      </c>
      <c r="D38">
        <v>58</v>
      </c>
      <c r="E38">
        <v>197</v>
      </c>
      <c r="F38">
        <v>97</v>
      </c>
      <c r="G38" s="4" t="s">
        <v>17</v>
      </c>
    </row>
    <row r="39" spans="1:7" x14ac:dyDescent="0.2">
      <c r="A39" s="4" t="s">
        <v>298</v>
      </c>
      <c r="B39" s="4" t="s">
        <v>299</v>
      </c>
      <c r="C39" s="4" t="s">
        <v>9</v>
      </c>
      <c r="D39">
        <v>23</v>
      </c>
      <c r="E39">
        <v>193</v>
      </c>
      <c r="F39">
        <v>114</v>
      </c>
      <c r="G39" s="4" t="s">
        <v>17</v>
      </c>
    </row>
    <row r="40" spans="1:7" x14ac:dyDescent="0.2">
      <c r="A40" s="4" t="s">
        <v>300</v>
      </c>
      <c r="B40" s="4" t="s">
        <v>301</v>
      </c>
      <c r="C40" s="4" t="s">
        <v>13</v>
      </c>
      <c r="D40">
        <v>49</v>
      </c>
      <c r="E40">
        <v>187</v>
      </c>
      <c r="F40">
        <v>95</v>
      </c>
      <c r="G40" s="4" t="s">
        <v>14</v>
      </c>
    </row>
    <row r="41" spans="1:7" x14ac:dyDescent="0.2">
      <c r="A41" s="4" t="s">
        <v>302</v>
      </c>
      <c r="B41" s="4" t="s">
        <v>303</v>
      </c>
      <c r="C41" s="4" t="s">
        <v>9</v>
      </c>
      <c r="D41">
        <v>52</v>
      </c>
      <c r="E41">
        <v>194</v>
      </c>
      <c r="F41">
        <v>66</v>
      </c>
      <c r="G41" s="4" t="s">
        <v>10</v>
      </c>
    </row>
    <row r="42" spans="1:7" x14ac:dyDescent="0.2">
      <c r="A42" s="4" t="s">
        <v>304</v>
      </c>
      <c r="B42" s="4" t="s">
        <v>305</v>
      </c>
      <c r="C42" s="4" t="s">
        <v>9</v>
      </c>
      <c r="D42">
        <v>51</v>
      </c>
      <c r="E42">
        <v>197</v>
      </c>
      <c r="F42">
        <v>83</v>
      </c>
      <c r="G42" s="4" t="s">
        <v>10</v>
      </c>
    </row>
    <row r="43" spans="1:7" x14ac:dyDescent="0.2">
      <c r="A43" s="4" t="s">
        <v>306</v>
      </c>
      <c r="B43" s="4" t="s">
        <v>307</v>
      </c>
      <c r="C43" s="4" t="s">
        <v>13</v>
      </c>
      <c r="D43">
        <v>43</v>
      </c>
      <c r="E43">
        <v>187</v>
      </c>
      <c r="F43">
        <v>93</v>
      </c>
      <c r="G43" s="4" t="s">
        <v>22</v>
      </c>
    </row>
    <row r="44" spans="1:7" x14ac:dyDescent="0.2">
      <c r="A44" s="4" t="s">
        <v>308</v>
      </c>
      <c r="B44" s="4" t="s">
        <v>309</v>
      </c>
      <c r="C44" s="4" t="s">
        <v>9</v>
      </c>
      <c r="D44">
        <v>23</v>
      </c>
      <c r="E44">
        <v>161</v>
      </c>
      <c r="F44">
        <v>56</v>
      </c>
      <c r="G44" s="4" t="s">
        <v>14</v>
      </c>
    </row>
    <row r="45" spans="1:7" x14ac:dyDescent="0.2">
      <c r="A45" s="4" t="s">
        <v>310</v>
      </c>
      <c r="B45" s="4" t="s">
        <v>311</v>
      </c>
      <c r="C45" s="4" t="s">
        <v>13</v>
      </c>
      <c r="D45">
        <v>52</v>
      </c>
      <c r="E45">
        <v>187</v>
      </c>
      <c r="F45">
        <v>50</v>
      </c>
      <c r="G45" s="4" t="s">
        <v>22</v>
      </c>
    </row>
    <row r="46" spans="1:7" x14ac:dyDescent="0.2">
      <c r="A46" s="4" t="s">
        <v>312</v>
      </c>
      <c r="B46" s="4" t="s">
        <v>313</v>
      </c>
      <c r="C46" s="4" t="s">
        <v>9</v>
      </c>
      <c r="D46">
        <v>27</v>
      </c>
      <c r="E46">
        <v>190</v>
      </c>
      <c r="F46">
        <v>71</v>
      </c>
      <c r="G46" s="4" t="s">
        <v>10</v>
      </c>
    </row>
    <row r="47" spans="1:7" x14ac:dyDescent="0.2">
      <c r="A47" s="4" t="s">
        <v>314</v>
      </c>
      <c r="B47" s="4" t="s">
        <v>315</v>
      </c>
      <c r="C47" s="4" t="s">
        <v>13</v>
      </c>
      <c r="D47">
        <v>18</v>
      </c>
      <c r="E47">
        <v>178</v>
      </c>
      <c r="F47">
        <v>116</v>
      </c>
      <c r="G47" s="4" t="s">
        <v>14</v>
      </c>
    </row>
    <row r="48" spans="1:7" x14ac:dyDescent="0.2">
      <c r="A48" s="4" t="s">
        <v>316</v>
      </c>
      <c r="B48" s="4" t="s">
        <v>317</v>
      </c>
      <c r="C48" s="4" t="s">
        <v>13</v>
      </c>
      <c r="D48">
        <v>27</v>
      </c>
      <c r="E48">
        <v>185</v>
      </c>
      <c r="F48">
        <v>55</v>
      </c>
      <c r="G48" s="4" t="s">
        <v>17</v>
      </c>
    </row>
    <row r="49" spans="1:7" x14ac:dyDescent="0.2">
      <c r="A49" s="4" t="s">
        <v>318</v>
      </c>
      <c r="B49" s="4" t="s">
        <v>319</v>
      </c>
      <c r="C49" s="4" t="s">
        <v>9</v>
      </c>
      <c r="D49">
        <v>23</v>
      </c>
      <c r="E49">
        <v>168</v>
      </c>
      <c r="F49">
        <v>68</v>
      </c>
      <c r="G49" s="4" t="s">
        <v>22</v>
      </c>
    </row>
    <row r="50" spans="1:7" x14ac:dyDescent="0.2">
      <c r="A50" s="4" t="s">
        <v>320</v>
      </c>
      <c r="B50" s="4" t="s">
        <v>321</v>
      </c>
      <c r="C50" s="4" t="s">
        <v>13</v>
      </c>
      <c r="D50">
        <v>50</v>
      </c>
      <c r="E50">
        <v>178</v>
      </c>
      <c r="F50">
        <v>53</v>
      </c>
      <c r="G50" s="4" t="s">
        <v>14</v>
      </c>
    </row>
    <row r="51" spans="1:7" x14ac:dyDescent="0.2">
      <c r="A51" s="4" t="s">
        <v>322</v>
      </c>
      <c r="B51" s="4" t="s">
        <v>323</v>
      </c>
      <c r="C51" s="4" t="s">
        <v>13</v>
      </c>
      <c r="D51">
        <v>40</v>
      </c>
      <c r="E51">
        <v>193</v>
      </c>
      <c r="F51">
        <v>99</v>
      </c>
      <c r="G51" s="4" t="s">
        <v>22</v>
      </c>
    </row>
    <row r="52" spans="1:7" x14ac:dyDescent="0.2">
      <c r="A52" s="4" t="s">
        <v>324</v>
      </c>
      <c r="B52" s="4" t="s">
        <v>325</v>
      </c>
      <c r="C52" s="4" t="s">
        <v>9</v>
      </c>
      <c r="D52">
        <v>43</v>
      </c>
      <c r="E52">
        <v>161</v>
      </c>
      <c r="F52">
        <v>66</v>
      </c>
      <c r="G52" s="4" t="s">
        <v>22</v>
      </c>
    </row>
    <row r="53" spans="1:7" x14ac:dyDescent="0.2">
      <c r="A53" s="4" t="s">
        <v>326</v>
      </c>
      <c r="B53" s="4" t="s">
        <v>327</v>
      </c>
      <c r="C53" s="4" t="s">
        <v>9</v>
      </c>
      <c r="D53">
        <v>57</v>
      </c>
      <c r="E53">
        <v>176</v>
      </c>
      <c r="F53">
        <v>55</v>
      </c>
      <c r="G53" s="4" t="s">
        <v>17</v>
      </c>
    </row>
    <row r="54" spans="1:7" x14ac:dyDescent="0.2">
      <c r="A54" s="4" t="s">
        <v>328</v>
      </c>
      <c r="B54" s="4" t="s">
        <v>329</v>
      </c>
      <c r="C54" s="4" t="s">
        <v>13</v>
      </c>
      <c r="D54">
        <v>47</v>
      </c>
      <c r="E54">
        <v>182</v>
      </c>
      <c r="F54">
        <v>97</v>
      </c>
      <c r="G54" s="4" t="s">
        <v>22</v>
      </c>
    </row>
    <row r="55" spans="1:7" x14ac:dyDescent="0.2">
      <c r="A55" s="4" t="s">
        <v>330</v>
      </c>
      <c r="B55" s="4" t="s">
        <v>331</v>
      </c>
      <c r="C55" s="4" t="s">
        <v>13</v>
      </c>
      <c r="D55">
        <v>46</v>
      </c>
      <c r="E55">
        <v>186</v>
      </c>
      <c r="F55">
        <v>117</v>
      </c>
      <c r="G55" s="4" t="s">
        <v>14</v>
      </c>
    </row>
    <row r="56" spans="1:7" x14ac:dyDescent="0.2">
      <c r="A56" s="4" t="s">
        <v>332</v>
      </c>
      <c r="B56" s="4" t="s">
        <v>333</v>
      </c>
      <c r="C56" s="4" t="s">
        <v>9</v>
      </c>
      <c r="D56">
        <v>55</v>
      </c>
      <c r="E56">
        <v>186</v>
      </c>
      <c r="F56">
        <v>75</v>
      </c>
      <c r="G56" s="4" t="s">
        <v>10</v>
      </c>
    </row>
    <row r="57" spans="1:7" x14ac:dyDescent="0.2">
      <c r="A57" s="4" t="s">
        <v>334</v>
      </c>
      <c r="B57" s="4" t="s">
        <v>335</v>
      </c>
      <c r="C57" s="4" t="s">
        <v>9</v>
      </c>
      <c r="D57">
        <v>34</v>
      </c>
      <c r="E57">
        <v>179</v>
      </c>
      <c r="F57">
        <v>71</v>
      </c>
      <c r="G57" s="4" t="s">
        <v>10</v>
      </c>
    </row>
    <row r="58" spans="1:7" x14ac:dyDescent="0.2">
      <c r="A58" s="4" t="s">
        <v>336</v>
      </c>
      <c r="B58" s="4" t="s">
        <v>337</v>
      </c>
      <c r="C58" s="4" t="s">
        <v>9</v>
      </c>
      <c r="D58">
        <v>31</v>
      </c>
      <c r="E58">
        <v>176</v>
      </c>
      <c r="F58">
        <v>117</v>
      </c>
      <c r="G58" s="4" t="s">
        <v>10</v>
      </c>
    </row>
    <row r="59" spans="1:7" x14ac:dyDescent="0.2">
      <c r="A59" s="4" t="s">
        <v>338</v>
      </c>
      <c r="B59" s="4" t="s">
        <v>339</v>
      </c>
      <c r="C59" s="4" t="s">
        <v>13</v>
      </c>
      <c r="D59">
        <v>50</v>
      </c>
      <c r="E59">
        <v>184</v>
      </c>
      <c r="F59">
        <v>65</v>
      </c>
      <c r="G59" s="4" t="s">
        <v>10</v>
      </c>
    </row>
    <row r="60" spans="1:7" x14ac:dyDescent="0.2">
      <c r="A60" s="4" t="s">
        <v>340</v>
      </c>
      <c r="B60" s="4" t="s">
        <v>341</v>
      </c>
      <c r="C60" s="4" t="s">
        <v>9</v>
      </c>
      <c r="D60">
        <v>50</v>
      </c>
      <c r="E60">
        <v>190</v>
      </c>
      <c r="F60">
        <v>117</v>
      </c>
      <c r="G60" s="4" t="s">
        <v>14</v>
      </c>
    </row>
    <row r="61" spans="1:7" x14ac:dyDescent="0.2">
      <c r="A61" s="4" t="s">
        <v>342</v>
      </c>
      <c r="B61" s="4" t="s">
        <v>343</v>
      </c>
      <c r="C61" s="4" t="s">
        <v>13</v>
      </c>
      <c r="D61">
        <v>24</v>
      </c>
      <c r="E61">
        <v>168</v>
      </c>
      <c r="F61">
        <v>51</v>
      </c>
      <c r="G61" s="4" t="s">
        <v>17</v>
      </c>
    </row>
    <row r="62" spans="1:7" x14ac:dyDescent="0.2">
      <c r="A62" s="4" t="s">
        <v>344</v>
      </c>
      <c r="B62" s="4" t="s">
        <v>345</v>
      </c>
      <c r="C62" s="4" t="s">
        <v>9</v>
      </c>
      <c r="D62">
        <v>49</v>
      </c>
      <c r="E62">
        <v>156</v>
      </c>
      <c r="F62">
        <v>66</v>
      </c>
      <c r="G62" s="4" t="s">
        <v>22</v>
      </c>
    </row>
    <row r="63" spans="1:7" x14ac:dyDescent="0.2">
      <c r="A63" s="4" t="s">
        <v>346</v>
      </c>
      <c r="B63" s="4" t="s">
        <v>347</v>
      </c>
      <c r="C63" s="4" t="s">
        <v>13</v>
      </c>
      <c r="D63">
        <v>43</v>
      </c>
      <c r="E63">
        <v>190</v>
      </c>
      <c r="F63">
        <v>85</v>
      </c>
      <c r="G63" s="4" t="s">
        <v>22</v>
      </c>
    </row>
    <row r="64" spans="1:7" x14ac:dyDescent="0.2">
      <c r="A64" s="4" t="s">
        <v>348</v>
      </c>
      <c r="B64" s="4" t="s">
        <v>349</v>
      </c>
      <c r="C64" s="4" t="s">
        <v>9</v>
      </c>
      <c r="D64">
        <v>29</v>
      </c>
      <c r="E64">
        <v>167</v>
      </c>
      <c r="F64">
        <v>109</v>
      </c>
      <c r="G64" s="4" t="s">
        <v>10</v>
      </c>
    </row>
    <row r="65" spans="1:7" x14ac:dyDescent="0.2">
      <c r="A65" s="4" t="s">
        <v>350</v>
      </c>
      <c r="B65" s="4" t="s">
        <v>351</v>
      </c>
      <c r="C65" s="4" t="s">
        <v>13</v>
      </c>
      <c r="D65">
        <v>23</v>
      </c>
      <c r="E65">
        <v>178</v>
      </c>
      <c r="F65">
        <v>88</v>
      </c>
      <c r="G65" s="4" t="s">
        <v>10</v>
      </c>
    </row>
    <row r="66" spans="1:7" x14ac:dyDescent="0.2">
      <c r="A66" s="4" t="s">
        <v>352</v>
      </c>
      <c r="B66" s="4" t="s">
        <v>353</v>
      </c>
      <c r="C66" s="4" t="s">
        <v>13</v>
      </c>
      <c r="D66">
        <v>59</v>
      </c>
      <c r="E66">
        <v>163</v>
      </c>
      <c r="F66">
        <v>100</v>
      </c>
      <c r="G66" s="4" t="s">
        <v>17</v>
      </c>
    </row>
    <row r="67" spans="1:7" x14ac:dyDescent="0.2">
      <c r="A67" s="4" t="s">
        <v>354</v>
      </c>
      <c r="B67" s="4" t="s">
        <v>355</v>
      </c>
      <c r="C67" s="4" t="s">
        <v>13</v>
      </c>
      <c r="D67">
        <v>48</v>
      </c>
      <c r="E67">
        <v>186</v>
      </c>
      <c r="F67">
        <v>91</v>
      </c>
      <c r="G67" s="4" t="s">
        <v>17</v>
      </c>
    </row>
    <row r="68" spans="1:7" x14ac:dyDescent="0.2">
      <c r="A68" s="4" t="s">
        <v>356</v>
      </c>
      <c r="B68" s="4" t="s">
        <v>357</v>
      </c>
      <c r="C68" s="4" t="s">
        <v>9</v>
      </c>
      <c r="D68">
        <v>31</v>
      </c>
      <c r="E68">
        <v>183</v>
      </c>
      <c r="F68">
        <v>99</v>
      </c>
      <c r="G68" s="4" t="s">
        <v>14</v>
      </c>
    </row>
    <row r="69" spans="1:7" x14ac:dyDescent="0.2">
      <c r="A69" s="4" t="s">
        <v>358</v>
      </c>
      <c r="B69" s="4" t="s">
        <v>359</v>
      </c>
      <c r="C69" s="4" t="s">
        <v>13</v>
      </c>
      <c r="D69">
        <v>29</v>
      </c>
      <c r="E69">
        <v>171</v>
      </c>
      <c r="F69">
        <v>72</v>
      </c>
      <c r="G69" s="4" t="s">
        <v>10</v>
      </c>
    </row>
    <row r="70" spans="1:7" x14ac:dyDescent="0.2">
      <c r="A70" s="4" t="s">
        <v>360</v>
      </c>
      <c r="B70" s="4" t="s">
        <v>361</v>
      </c>
      <c r="C70" s="4" t="s">
        <v>9</v>
      </c>
      <c r="D70">
        <v>35</v>
      </c>
      <c r="E70">
        <v>186</v>
      </c>
      <c r="F70">
        <v>67</v>
      </c>
      <c r="G70" s="4" t="s">
        <v>17</v>
      </c>
    </row>
    <row r="71" spans="1:7" x14ac:dyDescent="0.2">
      <c r="A71" s="4" t="s">
        <v>362</v>
      </c>
      <c r="B71" s="4" t="s">
        <v>363</v>
      </c>
      <c r="C71" s="4" t="s">
        <v>9</v>
      </c>
      <c r="D71">
        <v>42</v>
      </c>
      <c r="E71">
        <v>194</v>
      </c>
      <c r="F71">
        <v>68</v>
      </c>
      <c r="G71" s="4" t="s">
        <v>22</v>
      </c>
    </row>
    <row r="72" spans="1:7" x14ac:dyDescent="0.2">
      <c r="A72" s="4" t="s">
        <v>364</v>
      </c>
      <c r="B72" s="4" t="s">
        <v>365</v>
      </c>
      <c r="C72" s="4" t="s">
        <v>13</v>
      </c>
      <c r="D72">
        <v>42</v>
      </c>
      <c r="E72">
        <v>164</v>
      </c>
      <c r="F72">
        <v>70</v>
      </c>
      <c r="G72" s="4" t="s">
        <v>22</v>
      </c>
    </row>
    <row r="73" spans="1:7" x14ac:dyDescent="0.2">
      <c r="A73" s="4" t="s">
        <v>366</v>
      </c>
      <c r="B73" s="4" t="s">
        <v>367</v>
      </c>
      <c r="C73" s="4" t="s">
        <v>9</v>
      </c>
      <c r="D73">
        <v>56</v>
      </c>
      <c r="E73">
        <v>187</v>
      </c>
      <c r="F73">
        <v>94</v>
      </c>
      <c r="G73" s="4" t="s">
        <v>17</v>
      </c>
    </row>
    <row r="74" spans="1:7" x14ac:dyDescent="0.2">
      <c r="A74" s="4" t="s">
        <v>368</v>
      </c>
      <c r="B74" s="4" t="s">
        <v>369</v>
      </c>
      <c r="C74" s="4" t="s">
        <v>9</v>
      </c>
      <c r="D74">
        <v>40</v>
      </c>
      <c r="E74">
        <v>173</v>
      </c>
      <c r="F74">
        <v>76</v>
      </c>
      <c r="G74" s="4" t="s">
        <v>14</v>
      </c>
    </row>
    <row r="75" spans="1:7" x14ac:dyDescent="0.2">
      <c r="A75" s="4" t="s">
        <v>370</v>
      </c>
      <c r="B75" s="4" t="s">
        <v>371</v>
      </c>
      <c r="C75" s="4" t="s">
        <v>13</v>
      </c>
      <c r="D75">
        <v>19</v>
      </c>
      <c r="E75">
        <v>192</v>
      </c>
      <c r="F75">
        <v>110</v>
      </c>
      <c r="G75" s="4" t="s">
        <v>17</v>
      </c>
    </row>
    <row r="76" spans="1:7" x14ac:dyDescent="0.2">
      <c r="A76" s="4" t="s">
        <v>372</v>
      </c>
      <c r="B76" s="4" t="s">
        <v>373</v>
      </c>
      <c r="C76" s="4" t="s">
        <v>9</v>
      </c>
      <c r="D76">
        <v>29</v>
      </c>
      <c r="E76">
        <v>197</v>
      </c>
      <c r="F76">
        <v>92</v>
      </c>
      <c r="G76" s="4" t="s">
        <v>10</v>
      </c>
    </row>
    <row r="77" spans="1:7" x14ac:dyDescent="0.2">
      <c r="A77" s="4" t="s">
        <v>374</v>
      </c>
      <c r="B77" s="4" t="s">
        <v>375</v>
      </c>
      <c r="C77" s="4" t="s">
        <v>9</v>
      </c>
      <c r="D77">
        <v>60</v>
      </c>
      <c r="E77">
        <v>162</v>
      </c>
      <c r="F77">
        <v>115</v>
      </c>
      <c r="G77" s="4" t="s">
        <v>22</v>
      </c>
    </row>
    <row r="78" spans="1:7" x14ac:dyDescent="0.2">
      <c r="A78" s="4" t="s">
        <v>376</v>
      </c>
      <c r="B78" s="4" t="s">
        <v>377</v>
      </c>
      <c r="C78" s="4" t="s">
        <v>13</v>
      </c>
      <c r="D78">
        <v>19</v>
      </c>
      <c r="E78">
        <v>160</v>
      </c>
      <c r="F78">
        <v>82</v>
      </c>
      <c r="G78" s="4" t="s">
        <v>17</v>
      </c>
    </row>
    <row r="79" spans="1:7" x14ac:dyDescent="0.2">
      <c r="A79" s="4" t="s">
        <v>378</v>
      </c>
      <c r="B79" s="4" t="s">
        <v>379</v>
      </c>
      <c r="C79" s="4" t="s">
        <v>13</v>
      </c>
      <c r="D79">
        <v>27</v>
      </c>
      <c r="E79">
        <v>168</v>
      </c>
      <c r="F79">
        <v>101</v>
      </c>
      <c r="G79" s="4" t="s">
        <v>22</v>
      </c>
    </row>
    <row r="80" spans="1:7" x14ac:dyDescent="0.2">
      <c r="A80" s="4" t="s">
        <v>380</v>
      </c>
      <c r="B80" s="4" t="s">
        <v>381</v>
      </c>
      <c r="C80" s="4" t="s">
        <v>9</v>
      </c>
      <c r="D80">
        <v>42</v>
      </c>
      <c r="E80">
        <v>197</v>
      </c>
      <c r="F80">
        <v>113</v>
      </c>
      <c r="G80" s="4" t="s">
        <v>17</v>
      </c>
    </row>
    <row r="81" spans="1:7" x14ac:dyDescent="0.2">
      <c r="A81" s="4" t="s">
        <v>382</v>
      </c>
      <c r="B81" s="4" t="s">
        <v>383</v>
      </c>
      <c r="C81" s="4" t="s">
        <v>9</v>
      </c>
      <c r="D81">
        <v>27</v>
      </c>
      <c r="E81">
        <v>182</v>
      </c>
      <c r="F81">
        <v>94</v>
      </c>
      <c r="G81" s="4" t="s">
        <v>17</v>
      </c>
    </row>
    <row r="82" spans="1:7" x14ac:dyDescent="0.2">
      <c r="A82" s="4" t="s">
        <v>384</v>
      </c>
      <c r="B82" s="4" t="s">
        <v>385</v>
      </c>
      <c r="C82" s="4" t="s">
        <v>9</v>
      </c>
      <c r="D82">
        <v>54</v>
      </c>
      <c r="E82">
        <v>171</v>
      </c>
      <c r="F82">
        <v>96</v>
      </c>
      <c r="G82" s="4" t="s">
        <v>17</v>
      </c>
    </row>
    <row r="83" spans="1:7" x14ac:dyDescent="0.2">
      <c r="A83" s="4" t="s">
        <v>386</v>
      </c>
      <c r="B83" s="4" t="s">
        <v>387</v>
      </c>
      <c r="C83" s="4" t="s">
        <v>9</v>
      </c>
      <c r="D83">
        <v>19</v>
      </c>
      <c r="E83">
        <v>189</v>
      </c>
      <c r="F83">
        <v>85</v>
      </c>
      <c r="G83" s="4" t="s">
        <v>14</v>
      </c>
    </row>
    <row r="84" spans="1:7" x14ac:dyDescent="0.2">
      <c r="A84" s="4" t="s">
        <v>388</v>
      </c>
      <c r="B84" s="4" t="s">
        <v>383</v>
      </c>
      <c r="C84" s="4" t="s">
        <v>9</v>
      </c>
      <c r="D84">
        <v>52</v>
      </c>
      <c r="E84">
        <v>157</v>
      </c>
      <c r="F84">
        <v>112</v>
      </c>
      <c r="G84" s="4" t="s">
        <v>14</v>
      </c>
    </row>
    <row r="85" spans="1:7" x14ac:dyDescent="0.2">
      <c r="A85" s="4" t="s">
        <v>389</v>
      </c>
      <c r="B85" s="4" t="s">
        <v>390</v>
      </c>
      <c r="C85" s="4" t="s">
        <v>13</v>
      </c>
      <c r="D85">
        <v>33</v>
      </c>
      <c r="E85">
        <v>169</v>
      </c>
      <c r="F85">
        <v>64</v>
      </c>
      <c r="G85" s="4" t="s">
        <v>22</v>
      </c>
    </row>
    <row r="86" spans="1:7" x14ac:dyDescent="0.2">
      <c r="A86" s="4" t="s">
        <v>391</v>
      </c>
      <c r="B86" s="4" t="s">
        <v>392</v>
      </c>
      <c r="C86" s="4" t="s">
        <v>9</v>
      </c>
      <c r="D86">
        <v>35</v>
      </c>
      <c r="E86">
        <v>182</v>
      </c>
      <c r="F86">
        <v>65</v>
      </c>
      <c r="G86" s="4" t="s">
        <v>10</v>
      </c>
    </row>
    <row r="87" spans="1:7" x14ac:dyDescent="0.2">
      <c r="A87" s="4" t="s">
        <v>393</v>
      </c>
      <c r="B87" s="4" t="s">
        <v>394</v>
      </c>
      <c r="C87" s="4" t="s">
        <v>13</v>
      </c>
      <c r="D87">
        <v>52</v>
      </c>
      <c r="E87">
        <v>159</v>
      </c>
      <c r="F87">
        <v>78</v>
      </c>
      <c r="G87" s="4" t="s">
        <v>10</v>
      </c>
    </row>
    <row r="88" spans="1:7" x14ac:dyDescent="0.2">
      <c r="A88" s="4" t="s">
        <v>395</v>
      </c>
      <c r="B88" s="4" t="s">
        <v>396</v>
      </c>
      <c r="C88" s="4" t="s">
        <v>9</v>
      </c>
      <c r="D88">
        <v>49</v>
      </c>
      <c r="E88">
        <v>189</v>
      </c>
      <c r="F88">
        <v>107</v>
      </c>
      <c r="G88" s="4" t="s">
        <v>22</v>
      </c>
    </row>
    <row r="89" spans="1:7" x14ac:dyDescent="0.2">
      <c r="A89" s="4" t="s">
        <v>397</v>
      </c>
      <c r="B89" s="4" t="s">
        <v>398</v>
      </c>
      <c r="C89" s="4" t="s">
        <v>9</v>
      </c>
      <c r="D89">
        <v>45</v>
      </c>
      <c r="E89">
        <v>188</v>
      </c>
      <c r="F89">
        <v>72</v>
      </c>
      <c r="G89" s="4" t="s">
        <v>17</v>
      </c>
    </row>
    <row r="90" spans="1:7" x14ac:dyDescent="0.2">
      <c r="A90" s="4" t="s">
        <v>399</v>
      </c>
      <c r="B90" s="4" t="s">
        <v>400</v>
      </c>
      <c r="C90" s="4" t="s">
        <v>9</v>
      </c>
      <c r="D90">
        <v>22</v>
      </c>
      <c r="E90">
        <v>175</v>
      </c>
      <c r="F90">
        <v>120</v>
      </c>
      <c r="G90" s="4" t="s">
        <v>10</v>
      </c>
    </row>
    <row r="91" spans="1:7" x14ac:dyDescent="0.2">
      <c r="A91" s="4" t="s">
        <v>401</v>
      </c>
      <c r="B91" s="4" t="s">
        <v>402</v>
      </c>
      <c r="C91" s="4" t="s">
        <v>13</v>
      </c>
      <c r="D91">
        <v>28</v>
      </c>
      <c r="E91">
        <v>177</v>
      </c>
      <c r="F91">
        <v>94</v>
      </c>
      <c r="G91" s="4" t="s">
        <v>10</v>
      </c>
    </row>
    <row r="92" spans="1:7" x14ac:dyDescent="0.2">
      <c r="A92" s="4" t="s">
        <v>403</v>
      </c>
      <c r="B92" s="4" t="s">
        <v>404</v>
      </c>
      <c r="C92" s="4" t="s">
        <v>13</v>
      </c>
      <c r="D92">
        <v>45</v>
      </c>
      <c r="E92">
        <v>167</v>
      </c>
      <c r="F92">
        <v>52</v>
      </c>
      <c r="G92" s="4" t="s">
        <v>17</v>
      </c>
    </row>
    <row r="93" spans="1:7" x14ac:dyDescent="0.2">
      <c r="A93" s="4" t="s">
        <v>405</v>
      </c>
      <c r="B93" s="4" t="s">
        <v>406</v>
      </c>
      <c r="C93" s="4" t="s">
        <v>13</v>
      </c>
      <c r="D93">
        <v>24</v>
      </c>
      <c r="E93">
        <v>191</v>
      </c>
      <c r="F93">
        <v>117</v>
      </c>
      <c r="G93" s="4" t="s">
        <v>17</v>
      </c>
    </row>
    <row r="94" spans="1:7" x14ac:dyDescent="0.2">
      <c r="A94" s="4" t="s">
        <v>407</v>
      </c>
      <c r="B94" s="4" t="s">
        <v>408</v>
      </c>
      <c r="C94" s="4" t="s">
        <v>13</v>
      </c>
      <c r="D94">
        <v>54</v>
      </c>
      <c r="E94">
        <v>175</v>
      </c>
      <c r="F94">
        <v>71</v>
      </c>
      <c r="G94" s="4" t="s">
        <v>17</v>
      </c>
    </row>
    <row r="95" spans="1:7" x14ac:dyDescent="0.2">
      <c r="A95" s="4" t="s">
        <v>409</v>
      </c>
      <c r="B95" s="4" t="s">
        <v>410</v>
      </c>
      <c r="C95" s="4" t="s">
        <v>9</v>
      </c>
      <c r="D95">
        <v>20</v>
      </c>
      <c r="E95">
        <v>196</v>
      </c>
      <c r="F95">
        <v>77</v>
      </c>
      <c r="G95" s="4" t="s">
        <v>10</v>
      </c>
    </row>
    <row r="96" spans="1:7" x14ac:dyDescent="0.2">
      <c r="A96" s="4" t="s">
        <v>411</v>
      </c>
      <c r="B96" s="4" t="s">
        <v>412</v>
      </c>
      <c r="C96" s="4" t="s">
        <v>9</v>
      </c>
      <c r="D96">
        <v>45</v>
      </c>
      <c r="E96">
        <v>163</v>
      </c>
      <c r="F96">
        <v>80</v>
      </c>
      <c r="G96" s="4" t="s">
        <v>17</v>
      </c>
    </row>
    <row r="97" spans="1:7" x14ac:dyDescent="0.2">
      <c r="A97" s="4" t="s">
        <v>413</v>
      </c>
      <c r="B97" s="4" t="s">
        <v>414</v>
      </c>
      <c r="C97" s="4" t="s">
        <v>13</v>
      </c>
      <c r="D97">
        <v>31</v>
      </c>
      <c r="E97">
        <v>178</v>
      </c>
      <c r="F97">
        <v>104</v>
      </c>
      <c r="G97" s="4" t="s">
        <v>10</v>
      </c>
    </row>
    <row r="98" spans="1:7" x14ac:dyDescent="0.2">
      <c r="A98" s="4" t="s">
        <v>415</v>
      </c>
      <c r="B98" s="4" t="s">
        <v>416</v>
      </c>
      <c r="C98" s="4" t="s">
        <v>13</v>
      </c>
      <c r="D98">
        <v>44</v>
      </c>
      <c r="E98">
        <v>175</v>
      </c>
      <c r="F98">
        <v>99</v>
      </c>
      <c r="G98" s="4" t="s">
        <v>22</v>
      </c>
    </row>
    <row r="99" spans="1:7" x14ac:dyDescent="0.2">
      <c r="A99" s="4" t="s">
        <v>417</v>
      </c>
      <c r="B99" s="4" t="s">
        <v>418</v>
      </c>
      <c r="C99" s="4" t="s">
        <v>13</v>
      </c>
      <c r="D99">
        <v>34</v>
      </c>
      <c r="E99">
        <v>185</v>
      </c>
      <c r="F99">
        <v>115</v>
      </c>
      <c r="G99" s="4" t="s">
        <v>10</v>
      </c>
    </row>
    <row r="100" spans="1:7" x14ac:dyDescent="0.2">
      <c r="A100" s="4" t="s">
        <v>419</v>
      </c>
      <c r="B100" s="4" t="s">
        <v>420</v>
      </c>
      <c r="C100" s="4" t="s">
        <v>9</v>
      </c>
      <c r="D100">
        <v>34</v>
      </c>
      <c r="E100">
        <v>197</v>
      </c>
      <c r="F100">
        <v>117</v>
      </c>
      <c r="G100" s="4" t="s">
        <v>10</v>
      </c>
    </row>
    <row r="101" spans="1:7" x14ac:dyDescent="0.2">
      <c r="A101" s="4" t="s">
        <v>421</v>
      </c>
      <c r="B101" s="4" t="s">
        <v>422</v>
      </c>
      <c r="C101" s="4" t="s">
        <v>9</v>
      </c>
      <c r="D101">
        <v>49</v>
      </c>
      <c r="E101">
        <v>164</v>
      </c>
      <c r="F101">
        <v>103</v>
      </c>
      <c r="G101" s="4" t="s">
        <v>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"/>
  <sheetViews>
    <sheetView showOutlineSymbols="0" showWhiteSpace="0" topLeftCell="A20" workbookViewId="0">
      <selection activeCell="I9" sqref="I9"/>
    </sheetView>
  </sheetViews>
  <sheetFormatPr defaultRowHeight="14.25" x14ac:dyDescent="0.2"/>
  <cols>
    <col min="1" max="1" width="11" customWidth="1"/>
    <col min="2" max="2" width="14.125" bestFit="1" customWidth="1"/>
    <col min="3" max="3" width="8.625" bestFit="1" customWidth="1"/>
    <col min="4" max="4" width="5.625" customWidth="1"/>
    <col min="5" max="5" width="7.5" bestFit="1" customWidth="1"/>
    <col min="6" max="6" width="6.875" customWidth="1"/>
    <col min="7" max="7" width="8.625" bestFit="1" customWidth="1"/>
    <col min="8" max="8" width="11.75" bestFit="1" customWidth="1"/>
    <col min="9" max="9" width="9.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221</v>
      </c>
      <c r="I1" t="s">
        <v>219</v>
      </c>
    </row>
    <row r="2" spans="1:9" x14ac:dyDescent="0.2">
      <c r="A2" t="s">
        <v>7</v>
      </c>
      <c r="B2" t="s">
        <v>8</v>
      </c>
      <c r="C2" t="s">
        <v>9</v>
      </c>
      <c r="D2">
        <v>32</v>
      </c>
      <c r="E2">
        <v>157</v>
      </c>
      <c r="F2">
        <v>88</v>
      </c>
      <c r="G2" t="s">
        <v>10</v>
      </c>
      <c r="H2">
        <f>Tabela1[[#This Row],[height]]/100</f>
        <v>1.57</v>
      </c>
      <c r="I2">
        <f>Tabela1[[#This Row],[wage]]/POWER(Tabela1[[#This Row],[height (m)]],2)</f>
        <v>35.701245486632317</v>
      </c>
    </row>
    <row r="3" spans="1:9" hidden="1" x14ac:dyDescent="0.2">
      <c r="A3" t="s">
        <v>11</v>
      </c>
      <c r="B3" t="s">
        <v>12</v>
      </c>
      <c r="C3" t="s">
        <v>13</v>
      </c>
      <c r="D3">
        <v>33</v>
      </c>
      <c r="E3">
        <v>188</v>
      </c>
      <c r="F3">
        <v>115</v>
      </c>
      <c r="G3" t="s">
        <v>14</v>
      </c>
      <c r="H3">
        <f>Tabela1[[#This Row],[height]]/100</f>
        <v>1.88</v>
      </c>
      <c r="I3">
        <f>Tabela1[[#This Row],[wage]]/POWER(Tabela1[[#This Row],[height (m)]],2)</f>
        <v>32.537347215934815</v>
      </c>
    </row>
    <row r="4" spans="1:9" x14ac:dyDescent="0.2">
      <c r="A4" t="s">
        <v>15</v>
      </c>
      <c r="B4" t="s">
        <v>16</v>
      </c>
      <c r="C4" t="s">
        <v>9</v>
      </c>
      <c r="D4">
        <v>21</v>
      </c>
      <c r="E4">
        <v>155</v>
      </c>
      <c r="F4">
        <v>50</v>
      </c>
      <c r="G4" t="s">
        <v>17</v>
      </c>
      <c r="H4">
        <f>Tabela1[[#This Row],[height]]/100</f>
        <v>1.55</v>
      </c>
      <c r="I4">
        <f>Tabela1[[#This Row],[wage]]/POWER(Tabela1[[#This Row],[height (m)]],2)</f>
        <v>20.811654526534856</v>
      </c>
    </row>
    <row r="5" spans="1:9" hidden="1" x14ac:dyDescent="0.2">
      <c r="A5" t="s">
        <v>18</v>
      </c>
      <c r="B5" t="s">
        <v>19</v>
      </c>
      <c r="C5" t="s">
        <v>13</v>
      </c>
      <c r="D5">
        <v>44</v>
      </c>
      <c r="E5">
        <v>173</v>
      </c>
      <c r="F5">
        <v>92</v>
      </c>
      <c r="G5" t="s">
        <v>10</v>
      </c>
      <c r="H5">
        <f>Tabela1[[#This Row],[height]]/100</f>
        <v>1.73</v>
      </c>
      <c r="I5">
        <f>Tabela1[[#This Row],[wage]]/POWER(Tabela1[[#This Row],[height (m)]],2)</f>
        <v>30.73941661933242</v>
      </c>
    </row>
    <row r="6" spans="1:9" hidden="1" x14ac:dyDescent="0.2">
      <c r="A6" t="s">
        <v>20</v>
      </c>
      <c r="B6" t="s">
        <v>21</v>
      </c>
      <c r="C6" t="s">
        <v>13</v>
      </c>
      <c r="D6">
        <v>50</v>
      </c>
      <c r="E6">
        <v>159</v>
      </c>
      <c r="F6">
        <v>74</v>
      </c>
      <c r="G6" t="s">
        <v>22</v>
      </c>
      <c r="H6">
        <f>Tabela1[[#This Row],[height]]/100</f>
        <v>1.59</v>
      </c>
      <c r="I6">
        <f>Tabela1[[#This Row],[wage]]/POWER(Tabela1[[#This Row],[height (m)]],2)</f>
        <v>29.270994027135</v>
      </c>
    </row>
    <row r="7" spans="1:9" hidden="1" x14ac:dyDescent="0.2">
      <c r="A7" t="s">
        <v>23</v>
      </c>
      <c r="B7" t="s">
        <v>24</v>
      </c>
      <c r="C7" t="s">
        <v>13</v>
      </c>
      <c r="D7">
        <v>52</v>
      </c>
      <c r="E7">
        <v>175</v>
      </c>
      <c r="F7">
        <v>104</v>
      </c>
      <c r="G7" t="s">
        <v>17</v>
      </c>
      <c r="H7">
        <f>Tabela1[[#This Row],[height]]/100</f>
        <v>1.75</v>
      </c>
      <c r="I7">
        <f>Tabela1[[#This Row],[wage]]/POWER(Tabela1[[#This Row],[height (m)]],2)</f>
        <v>33.95918367346939</v>
      </c>
    </row>
    <row r="8" spans="1:9" x14ac:dyDescent="0.2">
      <c r="A8" t="s">
        <v>25</v>
      </c>
      <c r="B8" t="s">
        <v>26</v>
      </c>
      <c r="C8" t="s">
        <v>9</v>
      </c>
      <c r="D8">
        <v>31</v>
      </c>
      <c r="E8">
        <v>183</v>
      </c>
      <c r="F8">
        <v>78</v>
      </c>
      <c r="G8" t="s">
        <v>10</v>
      </c>
      <c r="H8">
        <f>Tabela1[[#This Row],[height]]/100</f>
        <v>1.83</v>
      </c>
      <c r="I8">
        <f>Tabela1[[#This Row],[wage]]/POWER(Tabela1[[#This Row],[height (m)]],2)</f>
        <v>23.291229956104985</v>
      </c>
    </row>
    <row r="9" spans="1:9" x14ac:dyDescent="0.2">
      <c r="A9" t="s">
        <v>27</v>
      </c>
      <c r="B9" t="s">
        <v>28</v>
      </c>
      <c r="C9" t="s">
        <v>9</v>
      </c>
      <c r="D9">
        <v>59</v>
      </c>
      <c r="E9">
        <v>171</v>
      </c>
      <c r="F9">
        <v>54</v>
      </c>
      <c r="G9" t="s">
        <v>14</v>
      </c>
      <c r="H9">
        <f>Tabela1[[#This Row],[height]]/100</f>
        <v>1.71</v>
      </c>
      <c r="I9">
        <f>Tabela1[[#This Row],[wage]]/POWER(Tabela1[[#This Row],[height (m)]],2)</f>
        <v>18.467220683287167</v>
      </c>
    </row>
    <row r="10" spans="1:9" x14ac:dyDescent="0.2">
      <c r="A10" t="s">
        <v>29</v>
      </c>
      <c r="B10" t="s">
        <v>30</v>
      </c>
      <c r="C10" t="s">
        <v>9</v>
      </c>
      <c r="D10">
        <v>46</v>
      </c>
      <c r="E10">
        <v>164</v>
      </c>
      <c r="F10">
        <v>117</v>
      </c>
      <c r="G10" t="s">
        <v>22</v>
      </c>
      <c r="H10">
        <f>Tabela1[[#This Row],[height]]/100</f>
        <v>1.64</v>
      </c>
      <c r="I10">
        <f>Tabela1[[#This Row],[wage]]/POWER(Tabela1[[#This Row],[height (m)]],2)</f>
        <v>43.500892325996439</v>
      </c>
    </row>
    <row r="11" spans="1:9" hidden="1" x14ac:dyDescent="0.2">
      <c r="A11" t="s">
        <v>31</v>
      </c>
      <c r="B11" t="s">
        <v>32</v>
      </c>
      <c r="C11" t="s">
        <v>13</v>
      </c>
      <c r="D11">
        <v>52</v>
      </c>
      <c r="E11">
        <v>163</v>
      </c>
      <c r="F11">
        <v>86</v>
      </c>
      <c r="G11" t="s">
        <v>14</v>
      </c>
      <c r="H11">
        <f>Tabela1[[#This Row],[height]]/100</f>
        <v>1.63</v>
      </c>
      <c r="I11">
        <f>Tabela1[[#This Row],[wage]]/POWER(Tabela1[[#This Row],[height (m)]],2)</f>
        <v>32.368549813692653</v>
      </c>
    </row>
    <row r="12" spans="1:9" hidden="1" x14ac:dyDescent="0.2">
      <c r="A12" t="s">
        <v>33</v>
      </c>
      <c r="B12" t="s">
        <v>34</v>
      </c>
      <c r="C12" t="s">
        <v>13</v>
      </c>
      <c r="D12">
        <v>26</v>
      </c>
      <c r="E12">
        <v>182</v>
      </c>
      <c r="F12">
        <v>51</v>
      </c>
      <c r="G12" t="s">
        <v>22</v>
      </c>
      <c r="H12">
        <f>Tabela1[[#This Row],[height]]/100</f>
        <v>1.82</v>
      </c>
      <c r="I12">
        <f>Tabela1[[#This Row],[wage]]/POWER(Tabela1[[#This Row],[height (m)]],2)</f>
        <v>15.396691220867044</v>
      </c>
    </row>
    <row r="13" spans="1:9" x14ac:dyDescent="0.2">
      <c r="A13" t="s">
        <v>35</v>
      </c>
      <c r="B13" t="s">
        <v>36</v>
      </c>
      <c r="C13" t="s">
        <v>9</v>
      </c>
      <c r="D13">
        <v>40</v>
      </c>
      <c r="E13">
        <v>168</v>
      </c>
      <c r="F13">
        <v>78</v>
      </c>
      <c r="G13" t="s">
        <v>22</v>
      </c>
      <c r="H13">
        <f>Tabela1[[#This Row],[height]]/100</f>
        <v>1.68</v>
      </c>
      <c r="I13">
        <f>Tabela1[[#This Row],[wage]]/POWER(Tabela1[[#This Row],[height (m)]],2)</f>
        <v>27.636054421768712</v>
      </c>
    </row>
    <row r="14" spans="1:9" hidden="1" x14ac:dyDescent="0.2">
      <c r="A14" t="s">
        <v>37</v>
      </c>
      <c r="B14" t="s">
        <v>38</v>
      </c>
      <c r="C14" t="s">
        <v>13</v>
      </c>
      <c r="D14">
        <v>39</v>
      </c>
      <c r="E14">
        <v>173</v>
      </c>
      <c r="F14">
        <v>52</v>
      </c>
      <c r="G14" t="s">
        <v>10</v>
      </c>
      <c r="H14">
        <f>Tabela1[[#This Row],[height]]/100</f>
        <v>1.73</v>
      </c>
      <c r="I14">
        <f>Tabela1[[#This Row],[wage]]/POWER(Tabela1[[#This Row],[height (m)]],2)</f>
        <v>17.374452871796585</v>
      </c>
    </row>
    <row r="15" spans="1:9" hidden="1" x14ac:dyDescent="0.2">
      <c r="A15" t="s">
        <v>39</v>
      </c>
      <c r="B15" t="s">
        <v>40</v>
      </c>
      <c r="C15" t="s">
        <v>13</v>
      </c>
      <c r="D15">
        <v>36</v>
      </c>
      <c r="E15">
        <v>197</v>
      </c>
      <c r="F15">
        <v>66</v>
      </c>
      <c r="G15" t="s">
        <v>17</v>
      </c>
      <c r="H15">
        <f>Tabela1[[#This Row],[height]]/100</f>
        <v>1.97</v>
      </c>
      <c r="I15">
        <f>Tabela1[[#This Row],[wage]]/POWER(Tabela1[[#This Row],[height (m)]],2)</f>
        <v>17.006364503079183</v>
      </c>
    </row>
    <row r="16" spans="1:9" hidden="1" x14ac:dyDescent="0.2">
      <c r="A16" t="s">
        <v>41</v>
      </c>
      <c r="B16" t="s">
        <v>42</v>
      </c>
      <c r="C16" t="s">
        <v>13</v>
      </c>
      <c r="D16">
        <v>33</v>
      </c>
      <c r="E16">
        <v>176</v>
      </c>
      <c r="F16">
        <v>119</v>
      </c>
      <c r="G16" t="s">
        <v>10</v>
      </c>
      <c r="H16">
        <f>Tabela1[[#This Row],[height]]/100</f>
        <v>1.76</v>
      </c>
      <c r="I16">
        <f>Tabela1[[#This Row],[wage]]/POWER(Tabela1[[#This Row],[height (m)]],2)</f>
        <v>38.41683884297521</v>
      </c>
    </row>
    <row r="17" spans="1:9" hidden="1" x14ac:dyDescent="0.2">
      <c r="A17" t="s">
        <v>43</v>
      </c>
      <c r="B17" t="s">
        <v>44</v>
      </c>
      <c r="C17" t="s">
        <v>13</v>
      </c>
      <c r="D17">
        <v>35</v>
      </c>
      <c r="E17">
        <v>183</v>
      </c>
      <c r="F17">
        <v>108</v>
      </c>
      <c r="G17" t="s">
        <v>17</v>
      </c>
      <c r="H17">
        <f>Tabela1[[#This Row],[height]]/100</f>
        <v>1.83</v>
      </c>
      <c r="I17">
        <f>Tabela1[[#This Row],[wage]]/POWER(Tabela1[[#This Row],[height (m)]],2)</f>
        <v>32.249395323837675</v>
      </c>
    </row>
    <row r="18" spans="1:9" hidden="1" x14ac:dyDescent="0.2">
      <c r="A18" t="s">
        <v>45</v>
      </c>
      <c r="B18" t="s">
        <v>46</v>
      </c>
      <c r="C18" t="s">
        <v>13</v>
      </c>
      <c r="D18">
        <v>20</v>
      </c>
      <c r="E18">
        <v>160</v>
      </c>
      <c r="F18">
        <v>105</v>
      </c>
      <c r="G18" t="s">
        <v>14</v>
      </c>
      <c r="H18">
        <f>Tabela1[[#This Row],[height]]/100</f>
        <v>1.6</v>
      </c>
      <c r="I18">
        <f>Tabela1[[#This Row],[wage]]/POWER(Tabela1[[#This Row],[height (m)]],2)</f>
        <v>41.015624999999993</v>
      </c>
    </row>
    <row r="19" spans="1:9" hidden="1" x14ac:dyDescent="0.2">
      <c r="A19" t="s">
        <v>47</v>
      </c>
      <c r="B19" t="s">
        <v>48</v>
      </c>
      <c r="C19" t="s">
        <v>13</v>
      </c>
      <c r="D19">
        <v>60</v>
      </c>
      <c r="E19">
        <v>163</v>
      </c>
      <c r="F19">
        <v>57</v>
      </c>
      <c r="G19" t="s">
        <v>22</v>
      </c>
      <c r="H19">
        <f>Tabela1[[#This Row],[height]]/100</f>
        <v>1.63</v>
      </c>
      <c r="I19">
        <f>Tabela1[[#This Row],[wage]]/POWER(Tabela1[[#This Row],[height (m)]],2)</f>
        <v>21.453573713726524</v>
      </c>
    </row>
    <row r="20" spans="1:9" x14ac:dyDescent="0.2">
      <c r="A20" t="s">
        <v>49</v>
      </c>
      <c r="B20" t="s">
        <v>50</v>
      </c>
      <c r="C20" t="s">
        <v>9</v>
      </c>
      <c r="D20">
        <v>50</v>
      </c>
      <c r="E20">
        <v>185</v>
      </c>
      <c r="F20">
        <v>86</v>
      </c>
      <c r="G20" t="s">
        <v>10</v>
      </c>
      <c r="H20">
        <f>Tabela1[[#This Row],[height]]/100</f>
        <v>1.85</v>
      </c>
      <c r="I20">
        <f>Tabela1[[#This Row],[wage]]/POWER(Tabela1[[#This Row],[height (m)]],2)</f>
        <v>25.127830533235937</v>
      </c>
    </row>
    <row r="21" spans="1:9" hidden="1" x14ac:dyDescent="0.2">
      <c r="A21" t="s">
        <v>51</v>
      </c>
      <c r="B21" t="s">
        <v>52</v>
      </c>
      <c r="C21" t="s">
        <v>13</v>
      </c>
      <c r="D21">
        <v>60</v>
      </c>
      <c r="E21">
        <v>161</v>
      </c>
      <c r="F21">
        <v>82</v>
      </c>
      <c r="G21" t="s">
        <v>22</v>
      </c>
      <c r="H21">
        <f>Tabela1[[#This Row],[height]]/100</f>
        <v>1.61</v>
      </c>
      <c r="I21">
        <f>Tabela1[[#This Row],[wage]]/POWER(Tabela1[[#This Row],[height (m)]],2)</f>
        <v>31.634581999151262</v>
      </c>
    </row>
    <row r="22" spans="1:9" x14ac:dyDescent="0.2">
      <c r="A22" t="s">
        <v>53</v>
      </c>
      <c r="B22" t="s">
        <v>54</v>
      </c>
      <c r="C22" t="s">
        <v>9</v>
      </c>
      <c r="D22">
        <v>20</v>
      </c>
      <c r="E22">
        <v>169</v>
      </c>
      <c r="F22">
        <v>90</v>
      </c>
      <c r="G22" t="s">
        <v>10</v>
      </c>
      <c r="H22">
        <f>Tabela1[[#This Row],[height]]/100</f>
        <v>1.69</v>
      </c>
      <c r="I22">
        <f>Tabela1[[#This Row],[wage]]/POWER(Tabela1[[#This Row],[height (m)]],2)</f>
        <v>31.511501698119819</v>
      </c>
    </row>
    <row r="23" spans="1:9" x14ac:dyDescent="0.2">
      <c r="A23" t="s">
        <v>55</v>
      </c>
      <c r="B23" t="s">
        <v>56</v>
      </c>
      <c r="C23" t="s">
        <v>9</v>
      </c>
      <c r="D23">
        <v>52</v>
      </c>
      <c r="E23">
        <v>186</v>
      </c>
      <c r="F23">
        <v>104</v>
      </c>
      <c r="G23" t="s">
        <v>10</v>
      </c>
      <c r="H23">
        <f>Tabela1[[#This Row],[height]]/100</f>
        <v>1.86</v>
      </c>
      <c r="I23">
        <f>Tabela1[[#This Row],[wage]]/POWER(Tabela1[[#This Row],[height (m)]],2)</f>
        <v>30.061278760550348</v>
      </c>
    </row>
    <row r="24" spans="1:9" hidden="1" x14ac:dyDescent="0.2">
      <c r="A24" t="s">
        <v>57</v>
      </c>
      <c r="B24" t="s">
        <v>58</v>
      </c>
      <c r="C24" t="s">
        <v>13</v>
      </c>
      <c r="D24">
        <v>47</v>
      </c>
      <c r="E24">
        <v>187</v>
      </c>
      <c r="F24">
        <v>88</v>
      </c>
      <c r="G24" t="s">
        <v>10</v>
      </c>
      <c r="H24">
        <f>Tabela1[[#This Row],[height]]/100</f>
        <v>1.87</v>
      </c>
      <c r="I24">
        <f>Tabela1[[#This Row],[wage]]/POWER(Tabela1[[#This Row],[height (m)]],2)</f>
        <v>25.165146272412706</v>
      </c>
    </row>
    <row r="25" spans="1:9" x14ac:dyDescent="0.2">
      <c r="A25" t="s">
        <v>59</v>
      </c>
      <c r="B25" t="s">
        <v>60</v>
      </c>
      <c r="C25" t="s">
        <v>9</v>
      </c>
      <c r="D25">
        <v>45</v>
      </c>
      <c r="E25">
        <v>160</v>
      </c>
      <c r="F25">
        <v>113</v>
      </c>
      <c r="G25" t="s">
        <v>17</v>
      </c>
      <c r="H25">
        <f>Tabela1[[#This Row],[height]]/100</f>
        <v>1.6</v>
      </c>
      <c r="I25">
        <f>Tabela1[[#This Row],[wage]]/POWER(Tabela1[[#This Row],[height (m)]],2)</f>
        <v>44.140624999999993</v>
      </c>
    </row>
    <row r="26" spans="1:9" x14ac:dyDescent="0.2">
      <c r="A26" t="s">
        <v>61</v>
      </c>
      <c r="B26" t="s">
        <v>62</v>
      </c>
      <c r="C26" t="s">
        <v>9</v>
      </c>
      <c r="D26">
        <v>45</v>
      </c>
      <c r="E26">
        <v>158</v>
      </c>
      <c r="F26">
        <v>93</v>
      </c>
      <c r="G26" t="s">
        <v>10</v>
      </c>
      <c r="H26">
        <f>Tabela1[[#This Row],[height]]/100</f>
        <v>1.58</v>
      </c>
      <c r="I26">
        <f>Tabela1[[#This Row],[wage]]/POWER(Tabela1[[#This Row],[height (m)]],2)</f>
        <v>37.25364524915878</v>
      </c>
    </row>
    <row r="27" spans="1:9" x14ac:dyDescent="0.2">
      <c r="A27" t="s">
        <v>63</v>
      </c>
      <c r="B27" t="s">
        <v>64</v>
      </c>
      <c r="C27" t="s">
        <v>9</v>
      </c>
      <c r="D27">
        <v>53</v>
      </c>
      <c r="E27">
        <v>158</v>
      </c>
      <c r="F27">
        <v>105</v>
      </c>
      <c r="G27" t="s">
        <v>14</v>
      </c>
      <c r="H27">
        <f>Tabela1[[#This Row],[height]]/100</f>
        <v>1.58</v>
      </c>
      <c r="I27">
        <f>Tabela1[[#This Row],[wage]]/POWER(Tabela1[[#This Row],[height (m)]],2)</f>
        <v>42.060567216792172</v>
      </c>
    </row>
    <row r="28" spans="1:9" hidden="1" x14ac:dyDescent="0.2">
      <c r="A28" t="s">
        <v>65</v>
      </c>
      <c r="B28" t="s">
        <v>66</v>
      </c>
      <c r="C28" t="s">
        <v>13</v>
      </c>
      <c r="D28">
        <v>56</v>
      </c>
      <c r="E28">
        <v>180</v>
      </c>
      <c r="F28">
        <v>111</v>
      </c>
      <c r="G28" t="s">
        <v>22</v>
      </c>
      <c r="H28">
        <f>Tabela1[[#This Row],[height]]/100</f>
        <v>1.8</v>
      </c>
      <c r="I28">
        <f>Tabela1[[#This Row],[wage]]/POWER(Tabela1[[#This Row],[height (m)]],2)</f>
        <v>34.25925925925926</v>
      </c>
    </row>
    <row r="29" spans="1:9" hidden="1" x14ac:dyDescent="0.2">
      <c r="A29" t="s">
        <v>67</v>
      </c>
      <c r="B29" t="s">
        <v>68</v>
      </c>
      <c r="C29" t="s">
        <v>13</v>
      </c>
      <c r="D29">
        <v>23</v>
      </c>
      <c r="E29">
        <v>165</v>
      </c>
      <c r="F29">
        <v>52</v>
      </c>
      <c r="G29" t="s">
        <v>17</v>
      </c>
      <c r="H29">
        <f>Tabela1[[#This Row],[height]]/100</f>
        <v>1.65</v>
      </c>
      <c r="I29">
        <f>Tabela1[[#This Row],[wage]]/POWER(Tabela1[[#This Row],[height (m)]],2)</f>
        <v>19.100091827364558</v>
      </c>
    </row>
    <row r="30" spans="1:9" x14ac:dyDescent="0.2">
      <c r="A30" t="s">
        <v>69</v>
      </c>
      <c r="B30" t="s">
        <v>70</v>
      </c>
      <c r="C30" t="s">
        <v>9</v>
      </c>
      <c r="D30">
        <v>39</v>
      </c>
      <c r="E30">
        <v>197</v>
      </c>
      <c r="F30">
        <v>109</v>
      </c>
      <c r="G30" t="s">
        <v>10</v>
      </c>
      <c r="H30">
        <f>Tabela1[[#This Row],[height]]/100</f>
        <v>1.97</v>
      </c>
      <c r="I30">
        <f>Tabela1[[#This Row],[wage]]/POWER(Tabela1[[#This Row],[height (m)]],2)</f>
        <v>28.08626864902471</v>
      </c>
    </row>
    <row r="31" spans="1:9" hidden="1" x14ac:dyDescent="0.2">
      <c r="A31" t="s">
        <v>71</v>
      </c>
      <c r="B31" t="s">
        <v>72</v>
      </c>
      <c r="C31" t="s">
        <v>13</v>
      </c>
      <c r="D31">
        <v>42</v>
      </c>
      <c r="E31">
        <v>166</v>
      </c>
      <c r="F31">
        <v>90</v>
      </c>
      <c r="G31" t="s">
        <v>14</v>
      </c>
      <c r="H31">
        <f>Tabela1[[#This Row],[height]]/100</f>
        <v>1.66</v>
      </c>
      <c r="I31">
        <f>Tabela1[[#This Row],[wage]]/POWER(Tabela1[[#This Row],[height (m)]],2)</f>
        <v>32.660763536072004</v>
      </c>
    </row>
    <row r="32" spans="1:9" x14ac:dyDescent="0.2">
      <c r="A32" t="s">
        <v>73</v>
      </c>
      <c r="B32" t="s">
        <v>74</v>
      </c>
      <c r="C32" t="s">
        <v>9</v>
      </c>
      <c r="D32">
        <v>44</v>
      </c>
      <c r="E32">
        <v>196</v>
      </c>
      <c r="F32">
        <v>54</v>
      </c>
      <c r="G32" t="s">
        <v>17</v>
      </c>
      <c r="H32">
        <f>Tabela1[[#This Row],[height]]/100</f>
        <v>1.96</v>
      </c>
      <c r="I32">
        <f>Tabela1[[#This Row],[wage]]/POWER(Tabela1[[#This Row],[height (m)]],2)</f>
        <v>14.056643065389423</v>
      </c>
    </row>
    <row r="33" spans="1:9" hidden="1" x14ac:dyDescent="0.2">
      <c r="A33" t="s">
        <v>75</v>
      </c>
      <c r="B33" t="s">
        <v>76</v>
      </c>
      <c r="C33" t="s">
        <v>13</v>
      </c>
      <c r="D33">
        <v>55</v>
      </c>
      <c r="E33">
        <v>158</v>
      </c>
      <c r="F33">
        <v>69</v>
      </c>
      <c r="G33" t="s">
        <v>10</v>
      </c>
      <c r="H33">
        <f>Tabela1[[#This Row],[height]]/100</f>
        <v>1.58</v>
      </c>
      <c r="I33">
        <f>Tabela1[[#This Row],[wage]]/POWER(Tabela1[[#This Row],[height (m)]],2)</f>
        <v>27.639801313892001</v>
      </c>
    </row>
    <row r="34" spans="1:9" x14ac:dyDescent="0.2">
      <c r="A34" t="s">
        <v>77</v>
      </c>
      <c r="B34" t="s">
        <v>78</v>
      </c>
      <c r="C34" t="s">
        <v>9</v>
      </c>
      <c r="D34">
        <v>50</v>
      </c>
      <c r="E34">
        <v>188</v>
      </c>
      <c r="F34">
        <v>82</v>
      </c>
      <c r="G34" t="s">
        <v>22</v>
      </c>
      <c r="H34">
        <f>Tabela1[[#This Row],[height]]/100</f>
        <v>1.88</v>
      </c>
      <c r="I34">
        <f>Tabela1[[#This Row],[wage]]/POWER(Tabela1[[#This Row],[height (m)]],2)</f>
        <v>23.20054323223178</v>
      </c>
    </row>
    <row r="35" spans="1:9" hidden="1" x14ac:dyDescent="0.2">
      <c r="A35" t="s">
        <v>79</v>
      </c>
      <c r="B35" t="s">
        <v>80</v>
      </c>
      <c r="C35" t="s">
        <v>13</v>
      </c>
      <c r="D35">
        <v>34</v>
      </c>
      <c r="E35">
        <v>174</v>
      </c>
      <c r="F35">
        <v>67</v>
      </c>
      <c r="G35" t="s">
        <v>10</v>
      </c>
      <c r="H35">
        <f>Tabela1[[#This Row],[height]]/100</f>
        <v>1.74</v>
      </c>
      <c r="I35">
        <f>Tabela1[[#This Row],[wage]]/POWER(Tabela1[[#This Row],[height (m)]],2)</f>
        <v>22.129739727837229</v>
      </c>
    </row>
    <row r="36" spans="1:9" hidden="1" x14ac:dyDescent="0.2">
      <c r="A36" t="s">
        <v>81</v>
      </c>
      <c r="B36" t="s">
        <v>82</v>
      </c>
      <c r="C36" t="s">
        <v>13</v>
      </c>
      <c r="D36">
        <v>48</v>
      </c>
      <c r="E36">
        <v>164</v>
      </c>
      <c r="F36">
        <v>60</v>
      </c>
      <c r="G36" t="s">
        <v>14</v>
      </c>
      <c r="H36">
        <f>Tabela1[[#This Row],[height]]/100</f>
        <v>1.64</v>
      </c>
      <c r="I36">
        <f>Tabela1[[#This Row],[wage]]/POWER(Tabela1[[#This Row],[height (m)]],2)</f>
        <v>22.308149910767405</v>
      </c>
    </row>
    <row r="37" spans="1:9" hidden="1" x14ac:dyDescent="0.2">
      <c r="A37" t="s">
        <v>83</v>
      </c>
      <c r="B37" t="s">
        <v>84</v>
      </c>
      <c r="C37" t="s">
        <v>13</v>
      </c>
      <c r="D37">
        <v>41</v>
      </c>
      <c r="E37">
        <v>178</v>
      </c>
      <c r="F37">
        <v>104</v>
      </c>
      <c r="G37" t="s">
        <v>10</v>
      </c>
      <c r="H37">
        <f>Tabela1[[#This Row],[height]]/100</f>
        <v>1.78</v>
      </c>
      <c r="I37">
        <f>Tabela1[[#This Row],[wage]]/POWER(Tabela1[[#This Row],[height (m)]],2)</f>
        <v>32.824138366367883</v>
      </c>
    </row>
    <row r="38" spans="1:9" x14ac:dyDescent="0.2">
      <c r="A38" t="s">
        <v>85</v>
      </c>
      <c r="B38" t="s">
        <v>86</v>
      </c>
      <c r="C38" t="s">
        <v>9</v>
      </c>
      <c r="D38">
        <v>29</v>
      </c>
      <c r="E38">
        <v>158</v>
      </c>
      <c r="F38">
        <v>73</v>
      </c>
      <c r="G38" t="s">
        <v>22</v>
      </c>
      <c r="H38">
        <f>Tabela1[[#This Row],[height]]/100</f>
        <v>1.58</v>
      </c>
      <c r="I38">
        <f>Tabela1[[#This Row],[wage]]/POWER(Tabela1[[#This Row],[height (m)]],2)</f>
        <v>29.242108636436463</v>
      </c>
    </row>
    <row r="39" spans="1:9" x14ac:dyDescent="0.2">
      <c r="A39" t="s">
        <v>87</v>
      </c>
      <c r="B39" t="s">
        <v>88</v>
      </c>
      <c r="C39" t="s">
        <v>9</v>
      </c>
      <c r="D39">
        <v>27</v>
      </c>
      <c r="E39">
        <v>195</v>
      </c>
      <c r="F39">
        <v>113</v>
      </c>
      <c r="G39" t="s">
        <v>14</v>
      </c>
      <c r="H39">
        <f>Tabela1[[#This Row],[height]]/100</f>
        <v>1.95</v>
      </c>
      <c r="I39">
        <f>Tabela1[[#This Row],[wage]]/POWER(Tabela1[[#This Row],[height (m)]],2)</f>
        <v>29.717291255752794</v>
      </c>
    </row>
    <row r="40" spans="1:9" hidden="1" x14ac:dyDescent="0.2">
      <c r="A40" t="s">
        <v>89</v>
      </c>
      <c r="B40" t="s">
        <v>90</v>
      </c>
      <c r="C40" t="s">
        <v>13</v>
      </c>
      <c r="D40">
        <v>20</v>
      </c>
      <c r="E40">
        <v>164</v>
      </c>
      <c r="F40">
        <v>93</v>
      </c>
      <c r="G40" t="s">
        <v>14</v>
      </c>
      <c r="H40">
        <f>Tabela1[[#This Row],[height]]/100</f>
        <v>1.64</v>
      </c>
      <c r="I40">
        <f>Tabela1[[#This Row],[wage]]/POWER(Tabela1[[#This Row],[height (m)]],2)</f>
        <v>34.577632361689474</v>
      </c>
    </row>
    <row r="41" spans="1:9" hidden="1" x14ac:dyDescent="0.2">
      <c r="A41" t="s">
        <v>91</v>
      </c>
      <c r="B41" t="s">
        <v>92</v>
      </c>
      <c r="C41" t="s">
        <v>13</v>
      </c>
      <c r="D41">
        <v>43</v>
      </c>
      <c r="E41">
        <v>182</v>
      </c>
      <c r="F41">
        <v>55</v>
      </c>
      <c r="G41" t="s">
        <v>10</v>
      </c>
      <c r="H41">
        <f>Tabela1[[#This Row],[height]]/100</f>
        <v>1.82</v>
      </c>
      <c r="I41">
        <f>Tabela1[[#This Row],[wage]]/POWER(Tabela1[[#This Row],[height (m)]],2)</f>
        <v>16.604274846033086</v>
      </c>
    </row>
    <row r="42" spans="1:9" hidden="1" x14ac:dyDescent="0.2">
      <c r="A42" t="s">
        <v>93</v>
      </c>
      <c r="B42" t="s">
        <v>94</v>
      </c>
      <c r="C42" t="s">
        <v>13</v>
      </c>
      <c r="D42">
        <v>41</v>
      </c>
      <c r="E42">
        <v>160</v>
      </c>
      <c r="F42">
        <v>74</v>
      </c>
      <c r="G42" t="s">
        <v>10</v>
      </c>
      <c r="H42">
        <f>Tabela1[[#This Row],[height]]/100</f>
        <v>1.6</v>
      </c>
      <c r="I42">
        <f>Tabela1[[#This Row],[wage]]/POWER(Tabela1[[#This Row],[height (m)]],2)</f>
        <v>28.906249999999993</v>
      </c>
    </row>
    <row r="43" spans="1:9" hidden="1" x14ac:dyDescent="0.2">
      <c r="A43" t="s">
        <v>95</v>
      </c>
      <c r="B43" t="s">
        <v>96</v>
      </c>
      <c r="C43" t="s">
        <v>13</v>
      </c>
      <c r="D43">
        <v>56</v>
      </c>
      <c r="E43">
        <v>197</v>
      </c>
      <c r="F43">
        <v>81</v>
      </c>
      <c r="G43" t="s">
        <v>10</v>
      </c>
      <c r="H43">
        <f>Tabela1[[#This Row],[height]]/100</f>
        <v>1.97</v>
      </c>
      <c r="I43">
        <f>Tabela1[[#This Row],[wage]]/POWER(Tabela1[[#This Row],[height (m)]],2)</f>
        <v>20.871447344688089</v>
      </c>
    </row>
    <row r="44" spans="1:9" x14ac:dyDescent="0.2">
      <c r="A44" t="s">
        <v>97</v>
      </c>
      <c r="B44" t="s">
        <v>98</v>
      </c>
      <c r="C44" t="s">
        <v>9</v>
      </c>
      <c r="D44">
        <v>35</v>
      </c>
      <c r="E44">
        <v>184</v>
      </c>
      <c r="F44">
        <v>95</v>
      </c>
      <c r="G44" t="s">
        <v>17</v>
      </c>
      <c r="H44">
        <f>Tabela1[[#This Row],[height]]/100</f>
        <v>1.84</v>
      </c>
      <c r="I44">
        <f>Tabela1[[#This Row],[wage]]/POWER(Tabela1[[#This Row],[height (m)]],2)</f>
        <v>28.060018903591683</v>
      </c>
    </row>
    <row r="45" spans="1:9" x14ac:dyDescent="0.2">
      <c r="A45" t="s">
        <v>99</v>
      </c>
      <c r="B45" t="s">
        <v>100</v>
      </c>
      <c r="C45" t="s">
        <v>9</v>
      </c>
      <c r="D45">
        <v>47</v>
      </c>
      <c r="E45">
        <v>171</v>
      </c>
      <c r="F45">
        <v>51</v>
      </c>
      <c r="G45" t="s">
        <v>14</v>
      </c>
      <c r="H45">
        <f>Tabela1[[#This Row],[height]]/100</f>
        <v>1.71</v>
      </c>
      <c r="I45">
        <f>Tabela1[[#This Row],[wage]]/POWER(Tabela1[[#This Row],[height (m)]],2)</f>
        <v>17.441263978660103</v>
      </c>
    </row>
    <row r="46" spans="1:9" x14ac:dyDescent="0.2">
      <c r="A46" t="s">
        <v>101</v>
      </c>
      <c r="B46" t="s">
        <v>102</v>
      </c>
      <c r="C46" t="s">
        <v>9</v>
      </c>
      <c r="D46">
        <v>39</v>
      </c>
      <c r="E46">
        <v>172</v>
      </c>
      <c r="F46">
        <v>58</v>
      </c>
      <c r="G46" t="s">
        <v>22</v>
      </c>
      <c r="H46">
        <f>Tabela1[[#This Row],[height]]/100</f>
        <v>1.72</v>
      </c>
      <c r="I46">
        <f>Tabela1[[#This Row],[wage]]/POWER(Tabela1[[#This Row],[height (m)]],2)</f>
        <v>19.605191995673341</v>
      </c>
    </row>
    <row r="47" spans="1:9" hidden="1" x14ac:dyDescent="0.2">
      <c r="A47" t="s">
        <v>103</v>
      </c>
      <c r="B47" t="s">
        <v>104</v>
      </c>
      <c r="C47" t="s">
        <v>13</v>
      </c>
      <c r="D47">
        <v>28</v>
      </c>
      <c r="E47">
        <v>184</v>
      </c>
      <c r="F47">
        <v>73</v>
      </c>
      <c r="G47" t="s">
        <v>14</v>
      </c>
      <c r="H47">
        <f>Tabela1[[#This Row],[height]]/100</f>
        <v>1.84</v>
      </c>
      <c r="I47">
        <f>Tabela1[[#This Row],[wage]]/POWER(Tabela1[[#This Row],[height (m)]],2)</f>
        <v>21.561909262759922</v>
      </c>
    </row>
    <row r="48" spans="1:9" x14ac:dyDescent="0.2">
      <c r="A48" t="s">
        <v>105</v>
      </c>
      <c r="B48" t="s">
        <v>106</v>
      </c>
      <c r="C48" t="s">
        <v>9</v>
      </c>
      <c r="D48">
        <v>60</v>
      </c>
      <c r="E48">
        <v>196</v>
      </c>
      <c r="F48">
        <v>51</v>
      </c>
      <c r="G48" t="s">
        <v>14</v>
      </c>
      <c r="H48">
        <f>Tabela1[[#This Row],[height]]/100</f>
        <v>1.96</v>
      </c>
      <c r="I48">
        <f>Tabela1[[#This Row],[wage]]/POWER(Tabela1[[#This Row],[height (m)]],2)</f>
        <v>13.275718450645565</v>
      </c>
    </row>
    <row r="49" spans="1:9" x14ac:dyDescent="0.2">
      <c r="A49" t="s">
        <v>107</v>
      </c>
      <c r="B49" t="s">
        <v>108</v>
      </c>
      <c r="C49" t="s">
        <v>9</v>
      </c>
      <c r="D49">
        <v>23</v>
      </c>
      <c r="E49">
        <v>176</v>
      </c>
      <c r="F49">
        <v>108</v>
      </c>
      <c r="G49" t="s">
        <v>14</v>
      </c>
      <c r="H49">
        <f>Tabela1[[#This Row],[height]]/100</f>
        <v>1.76</v>
      </c>
      <c r="I49">
        <f>Tabela1[[#This Row],[wage]]/POWER(Tabela1[[#This Row],[height (m)]],2)</f>
        <v>34.865702479338843</v>
      </c>
    </row>
    <row r="50" spans="1:9" x14ac:dyDescent="0.2">
      <c r="A50" t="s">
        <v>109</v>
      </c>
      <c r="B50" t="s">
        <v>110</v>
      </c>
      <c r="C50" t="s">
        <v>9</v>
      </c>
      <c r="D50">
        <v>32</v>
      </c>
      <c r="E50">
        <v>173</v>
      </c>
      <c r="F50">
        <v>104</v>
      </c>
      <c r="G50" t="s">
        <v>22</v>
      </c>
      <c r="H50">
        <f>Tabela1[[#This Row],[height]]/100</f>
        <v>1.73</v>
      </c>
      <c r="I50">
        <f>Tabela1[[#This Row],[wage]]/POWER(Tabela1[[#This Row],[height (m)]],2)</f>
        <v>34.74890574359317</v>
      </c>
    </row>
    <row r="51" spans="1:9" x14ac:dyDescent="0.2">
      <c r="A51" t="s">
        <v>111</v>
      </c>
      <c r="B51" t="s">
        <v>112</v>
      </c>
      <c r="C51" t="s">
        <v>9</v>
      </c>
      <c r="D51">
        <v>48</v>
      </c>
      <c r="E51">
        <v>165</v>
      </c>
      <c r="F51">
        <v>114</v>
      </c>
      <c r="G51" t="s">
        <v>22</v>
      </c>
      <c r="H51">
        <f>Tabela1[[#This Row],[height]]/100</f>
        <v>1.65</v>
      </c>
      <c r="I51">
        <f>Tabela1[[#This Row],[wage]]/POWER(Tabela1[[#This Row],[height (m)]],2)</f>
        <v>41.873278236914608</v>
      </c>
    </row>
    <row r="52" spans="1:9" x14ac:dyDescent="0.2">
      <c r="A52" t="s">
        <v>113</v>
      </c>
      <c r="B52" t="s">
        <v>114</v>
      </c>
      <c r="C52" t="s">
        <v>9</v>
      </c>
      <c r="D52">
        <v>18</v>
      </c>
      <c r="E52">
        <v>179</v>
      </c>
      <c r="F52">
        <v>91</v>
      </c>
      <c r="G52" t="s">
        <v>10</v>
      </c>
      <c r="H52">
        <f>Tabela1[[#This Row],[height]]/100</f>
        <v>1.79</v>
      </c>
      <c r="I52">
        <f>Tabela1[[#This Row],[wage]]/POWER(Tabela1[[#This Row],[height (m)]],2)</f>
        <v>28.40111107643332</v>
      </c>
    </row>
    <row r="53" spans="1:9" x14ac:dyDescent="0.2">
      <c r="A53" t="s">
        <v>115</v>
      </c>
      <c r="B53" t="s">
        <v>116</v>
      </c>
      <c r="C53" t="s">
        <v>9</v>
      </c>
      <c r="D53">
        <v>54</v>
      </c>
      <c r="E53">
        <v>165</v>
      </c>
      <c r="F53">
        <v>65</v>
      </c>
      <c r="G53" t="s">
        <v>14</v>
      </c>
      <c r="H53">
        <f>Tabela1[[#This Row],[height]]/100</f>
        <v>1.65</v>
      </c>
      <c r="I53">
        <f>Tabela1[[#This Row],[wage]]/POWER(Tabela1[[#This Row],[height (m)]],2)</f>
        <v>23.875114784205696</v>
      </c>
    </row>
    <row r="54" spans="1:9" x14ac:dyDescent="0.2">
      <c r="A54" t="s">
        <v>117</v>
      </c>
      <c r="B54" t="s">
        <v>118</v>
      </c>
      <c r="C54" t="s">
        <v>9</v>
      </c>
      <c r="D54">
        <v>18</v>
      </c>
      <c r="E54">
        <v>165</v>
      </c>
      <c r="F54">
        <v>89</v>
      </c>
      <c r="G54" t="s">
        <v>14</v>
      </c>
      <c r="H54">
        <f>Tabela1[[#This Row],[height]]/100</f>
        <v>1.65</v>
      </c>
      <c r="I54">
        <f>Tabela1[[#This Row],[wage]]/POWER(Tabela1[[#This Row],[height (m)]],2)</f>
        <v>32.690541781450875</v>
      </c>
    </row>
    <row r="55" spans="1:9" x14ac:dyDescent="0.2">
      <c r="A55" t="s">
        <v>119</v>
      </c>
      <c r="B55" t="s">
        <v>120</v>
      </c>
      <c r="C55" t="s">
        <v>9</v>
      </c>
      <c r="D55">
        <v>51</v>
      </c>
      <c r="E55">
        <v>157</v>
      </c>
      <c r="F55">
        <v>111</v>
      </c>
      <c r="G55" t="s">
        <v>17</v>
      </c>
      <c r="H55">
        <f>Tabela1[[#This Row],[height]]/100</f>
        <v>1.57</v>
      </c>
      <c r="I55">
        <f>Tabela1[[#This Row],[wage]]/POWER(Tabela1[[#This Row],[height (m)]],2)</f>
        <v>45.032252829729401</v>
      </c>
    </row>
    <row r="56" spans="1:9" x14ac:dyDescent="0.2">
      <c r="A56" t="s">
        <v>121</v>
      </c>
      <c r="B56" t="s">
        <v>122</v>
      </c>
      <c r="C56" t="s">
        <v>9</v>
      </c>
      <c r="D56">
        <v>29</v>
      </c>
      <c r="E56">
        <v>168</v>
      </c>
      <c r="F56">
        <v>88</v>
      </c>
      <c r="G56" t="s">
        <v>22</v>
      </c>
      <c r="H56">
        <f>Tabela1[[#This Row],[height]]/100</f>
        <v>1.68</v>
      </c>
      <c r="I56">
        <f>Tabela1[[#This Row],[wage]]/POWER(Tabela1[[#This Row],[height (m)]],2)</f>
        <v>31.17913832199547</v>
      </c>
    </row>
    <row r="57" spans="1:9" x14ac:dyDescent="0.2">
      <c r="A57" t="s">
        <v>123</v>
      </c>
      <c r="B57" t="s">
        <v>124</v>
      </c>
      <c r="C57" t="s">
        <v>9</v>
      </c>
      <c r="D57">
        <v>34</v>
      </c>
      <c r="E57">
        <v>156</v>
      </c>
      <c r="F57">
        <v>78</v>
      </c>
      <c r="G57" t="s">
        <v>17</v>
      </c>
      <c r="H57">
        <f>Tabela1[[#This Row],[height]]/100</f>
        <v>1.56</v>
      </c>
      <c r="I57">
        <f>Tabela1[[#This Row],[wage]]/POWER(Tabela1[[#This Row],[height (m)]],2)</f>
        <v>32.051282051282051</v>
      </c>
    </row>
    <row r="58" spans="1:9" hidden="1" x14ac:dyDescent="0.2">
      <c r="A58" t="s">
        <v>125</v>
      </c>
      <c r="B58" t="s">
        <v>126</v>
      </c>
      <c r="C58" t="s">
        <v>13</v>
      </c>
      <c r="D58">
        <v>25</v>
      </c>
      <c r="E58">
        <v>178</v>
      </c>
      <c r="F58">
        <v>112</v>
      </c>
      <c r="G58" t="s">
        <v>17</v>
      </c>
      <c r="H58">
        <f>Tabela1[[#This Row],[height]]/100</f>
        <v>1.78</v>
      </c>
      <c r="I58">
        <f>Tabela1[[#This Row],[wage]]/POWER(Tabela1[[#This Row],[height (m)]],2)</f>
        <v>35.349072086857717</v>
      </c>
    </row>
    <row r="59" spans="1:9" x14ac:dyDescent="0.2">
      <c r="A59" t="s">
        <v>127</v>
      </c>
      <c r="B59" t="s">
        <v>128</v>
      </c>
      <c r="C59" t="s">
        <v>9</v>
      </c>
      <c r="D59">
        <v>26</v>
      </c>
      <c r="E59">
        <v>180</v>
      </c>
      <c r="F59">
        <v>82</v>
      </c>
      <c r="G59" t="s">
        <v>17</v>
      </c>
      <c r="H59">
        <f>Tabela1[[#This Row],[height]]/100</f>
        <v>1.8</v>
      </c>
      <c r="I59">
        <f>Tabela1[[#This Row],[wage]]/POWER(Tabela1[[#This Row],[height (m)]],2)</f>
        <v>25.308641975308639</v>
      </c>
    </row>
    <row r="60" spans="1:9" x14ac:dyDescent="0.2">
      <c r="A60" t="s">
        <v>129</v>
      </c>
      <c r="B60" t="s">
        <v>130</v>
      </c>
      <c r="C60" t="s">
        <v>9</v>
      </c>
      <c r="D60">
        <v>29</v>
      </c>
      <c r="E60">
        <v>194</v>
      </c>
      <c r="F60">
        <v>80</v>
      </c>
      <c r="G60" t="s">
        <v>14</v>
      </c>
      <c r="H60">
        <f>Tabela1[[#This Row],[height]]/100</f>
        <v>1.94</v>
      </c>
      <c r="I60">
        <f>Tabela1[[#This Row],[wage]]/POWER(Tabela1[[#This Row],[height (m)]],2)</f>
        <v>21.256244021681368</v>
      </c>
    </row>
    <row r="61" spans="1:9" hidden="1" x14ac:dyDescent="0.2">
      <c r="A61" t="s">
        <v>131</v>
      </c>
      <c r="B61" t="s">
        <v>132</v>
      </c>
      <c r="C61" t="s">
        <v>13</v>
      </c>
      <c r="D61">
        <v>25</v>
      </c>
      <c r="E61">
        <v>171</v>
      </c>
      <c r="F61">
        <v>63</v>
      </c>
      <c r="G61" t="s">
        <v>22</v>
      </c>
      <c r="H61">
        <f>Tabela1[[#This Row],[height]]/100</f>
        <v>1.71</v>
      </c>
      <c r="I61">
        <f>Tabela1[[#This Row],[wage]]/POWER(Tabela1[[#This Row],[height (m)]],2)</f>
        <v>21.545090797168363</v>
      </c>
    </row>
    <row r="62" spans="1:9" hidden="1" x14ac:dyDescent="0.2">
      <c r="A62" t="s">
        <v>133</v>
      </c>
      <c r="B62" t="s">
        <v>134</v>
      </c>
      <c r="C62" t="s">
        <v>13</v>
      </c>
      <c r="D62">
        <v>44</v>
      </c>
      <c r="E62">
        <v>189</v>
      </c>
      <c r="F62">
        <v>101</v>
      </c>
      <c r="G62" t="s">
        <v>10</v>
      </c>
      <c r="H62">
        <f>Tabela1[[#This Row],[height]]/100</f>
        <v>1.89</v>
      </c>
      <c r="I62">
        <f>Tabela1[[#This Row],[wage]]/POWER(Tabela1[[#This Row],[height (m)]],2)</f>
        <v>28.274684359340444</v>
      </c>
    </row>
    <row r="63" spans="1:9" x14ac:dyDescent="0.2">
      <c r="A63" t="s">
        <v>135</v>
      </c>
      <c r="B63" t="s">
        <v>136</v>
      </c>
      <c r="C63" t="s">
        <v>9</v>
      </c>
      <c r="D63">
        <v>52</v>
      </c>
      <c r="E63">
        <v>174</v>
      </c>
      <c r="F63">
        <v>77</v>
      </c>
      <c r="G63" t="s">
        <v>17</v>
      </c>
      <c r="H63">
        <f>Tabela1[[#This Row],[height]]/100</f>
        <v>1.74</v>
      </c>
      <c r="I63">
        <f>Tabela1[[#This Row],[wage]]/POWER(Tabela1[[#This Row],[height (m)]],2)</f>
        <v>25.432685955872639</v>
      </c>
    </row>
    <row r="64" spans="1:9" x14ac:dyDescent="0.2">
      <c r="A64" t="s">
        <v>137</v>
      </c>
      <c r="B64" t="s">
        <v>138</v>
      </c>
      <c r="C64" t="s">
        <v>9</v>
      </c>
      <c r="D64">
        <v>42</v>
      </c>
      <c r="E64">
        <v>160</v>
      </c>
      <c r="F64">
        <v>76</v>
      </c>
      <c r="G64" t="s">
        <v>10</v>
      </c>
      <c r="H64">
        <f>Tabela1[[#This Row],[height]]/100</f>
        <v>1.6</v>
      </c>
      <c r="I64">
        <f>Tabela1[[#This Row],[wage]]/POWER(Tabela1[[#This Row],[height (m)]],2)</f>
        <v>29.687499999999993</v>
      </c>
    </row>
    <row r="65" spans="1:9" x14ac:dyDescent="0.2">
      <c r="A65" t="s">
        <v>139</v>
      </c>
      <c r="B65" t="s">
        <v>140</v>
      </c>
      <c r="C65" t="s">
        <v>9</v>
      </c>
      <c r="D65">
        <v>33</v>
      </c>
      <c r="E65">
        <v>165</v>
      </c>
      <c r="F65">
        <v>116</v>
      </c>
      <c r="G65" t="s">
        <v>14</v>
      </c>
      <c r="H65">
        <f>Tabela1[[#This Row],[height]]/100</f>
        <v>1.65</v>
      </c>
      <c r="I65">
        <f>Tabela1[[#This Row],[wage]]/POWER(Tabela1[[#This Row],[height (m)]],2)</f>
        <v>42.607897153351701</v>
      </c>
    </row>
    <row r="66" spans="1:9" hidden="1" x14ac:dyDescent="0.2">
      <c r="A66" t="s">
        <v>141</v>
      </c>
      <c r="B66" t="s">
        <v>142</v>
      </c>
      <c r="C66" t="s">
        <v>13</v>
      </c>
      <c r="D66">
        <v>39</v>
      </c>
      <c r="E66">
        <v>159</v>
      </c>
      <c r="F66">
        <v>101</v>
      </c>
      <c r="G66" t="s">
        <v>10</v>
      </c>
      <c r="H66">
        <f>Tabela1[[#This Row],[height]]/100</f>
        <v>1.59</v>
      </c>
      <c r="I66">
        <f>Tabela1[[#This Row],[wage]]/POWER(Tabela1[[#This Row],[height (m)]],2)</f>
        <v>39.950951307305878</v>
      </c>
    </row>
    <row r="67" spans="1:9" hidden="1" x14ac:dyDescent="0.2">
      <c r="A67" t="s">
        <v>143</v>
      </c>
      <c r="B67" t="s">
        <v>144</v>
      </c>
      <c r="C67" t="s">
        <v>13</v>
      </c>
      <c r="D67">
        <v>55</v>
      </c>
      <c r="E67">
        <v>193</v>
      </c>
      <c r="F67">
        <v>107</v>
      </c>
      <c r="G67" t="s">
        <v>22</v>
      </c>
      <c r="H67">
        <f>Tabela1[[#This Row],[height]]/100</f>
        <v>1.93</v>
      </c>
      <c r="I67">
        <f>Tabela1[[#This Row],[wage]]/POWER(Tabela1[[#This Row],[height (m)]],2)</f>
        <v>28.725603371902601</v>
      </c>
    </row>
    <row r="68" spans="1:9" hidden="1" x14ac:dyDescent="0.2">
      <c r="A68" t="s">
        <v>145</v>
      </c>
      <c r="B68" t="s">
        <v>146</v>
      </c>
      <c r="C68" t="s">
        <v>13</v>
      </c>
      <c r="D68">
        <v>51</v>
      </c>
      <c r="E68">
        <v>194</v>
      </c>
      <c r="F68">
        <v>67</v>
      </c>
      <c r="G68" t="s">
        <v>22</v>
      </c>
      <c r="H68">
        <f>Tabela1[[#This Row],[height]]/100</f>
        <v>1.94</v>
      </c>
      <c r="I68">
        <f>Tabela1[[#This Row],[wage]]/POWER(Tabela1[[#This Row],[height (m)]],2)</f>
        <v>17.802104368158147</v>
      </c>
    </row>
    <row r="69" spans="1:9" x14ac:dyDescent="0.2">
      <c r="A69" t="s">
        <v>147</v>
      </c>
      <c r="B69" t="s">
        <v>148</v>
      </c>
      <c r="C69" t="s">
        <v>9</v>
      </c>
      <c r="D69">
        <v>36</v>
      </c>
      <c r="E69">
        <v>160</v>
      </c>
      <c r="F69">
        <v>113</v>
      </c>
      <c r="G69" t="s">
        <v>17</v>
      </c>
      <c r="H69">
        <f>Tabela1[[#This Row],[height]]/100</f>
        <v>1.6</v>
      </c>
      <c r="I69">
        <f>Tabela1[[#This Row],[wage]]/POWER(Tabela1[[#This Row],[height (m)]],2)</f>
        <v>44.140624999999993</v>
      </c>
    </row>
    <row r="70" spans="1:9" hidden="1" x14ac:dyDescent="0.2">
      <c r="A70" t="s">
        <v>149</v>
      </c>
      <c r="B70" t="s">
        <v>150</v>
      </c>
      <c r="C70" t="s">
        <v>13</v>
      </c>
      <c r="D70">
        <v>32</v>
      </c>
      <c r="E70">
        <v>156</v>
      </c>
      <c r="F70">
        <v>55</v>
      </c>
      <c r="G70" t="s">
        <v>22</v>
      </c>
      <c r="H70">
        <f>Tabela1[[#This Row],[height]]/100</f>
        <v>1.56</v>
      </c>
      <c r="I70">
        <f>Tabela1[[#This Row],[wage]]/POWER(Tabela1[[#This Row],[height (m)]],2)</f>
        <v>22.600262984878366</v>
      </c>
    </row>
    <row r="71" spans="1:9" x14ac:dyDescent="0.2">
      <c r="A71" t="s">
        <v>151</v>
      </c>
      <c r="B71" t="s">
        <v>152</v>
      </c>
      <c r="C71" t="s">
        <v>9</v>
      </c>
      <c r="D71">
        <v>55</v>
      </c>
      <c r="E71">
        <v>156</v>
      </c>
      <c r="F71">
        <v>103</v>
      </c>
      <c r="G71" t="s">
        <v>22</v>
      </c>
      <c r="H71">
        <f>Tabela1[[#This Row],[height]]/100</f>
        <v>1.56</v>
      </c>
      <c r="I71">
        <f>Tabela1[[#This Row],[wage]]/POWER(Tabela1[[#This Row],[height (m)]],2)</f>
        <v>42.324128862590399</v>
      </c>
    </row>
    <row r="72" spans="1:9" x14ac:dyDescent="0.2">
      <c r="A72" t="s">
        <v>153</v>
      </c>
      <c r="B72" t="s">
        <v>154</v>
      </c>
      <c r="C72" t="s">
        <v>9</v>
      </c>
      <c r="D72">
        <v>53</v>
      </c>
      <c r="E72">
        <v>196</v>
      </c>
      <c r="F72">
        <v>62</v>
      </c>
      <c r="G72" t="s">
        <v>17</v>
      </c>
      <c r="H72">
        <f>Tabela1[[#This Row],[height]]/100</f>
        <v>1.96</v>
      </c>
      <c r="I72">
        <f>Tabela1[[#This Row],[wage]]/POWER(Tabela1[[#This Row],[height (m)]],2)</f>
        <v>16.139108704706373</v>
      </c>
    </row>
    <row r="73" spans="1:9" x14ac:dyDescent="0.2">
      <c r="A73" t="s">
        <v>155</v>
      </c>
      <c r="B73" t="s">
        <v>156</v>
      </c>
      <c r="C73" t="s">
        <v>9</v>
      </c>
      <c r="D73">
        <v>51</v>
      </c>
      <c r="E73">
        <v>183</v>
      </c>
      <c r="F73">
        <v>111</v>
      </c>
      <c r="G73" t="s">
        <v>22</v>
      </c>
      <c r="H73">
        <f>Tabela1[[#This Row],[height]]/100</f>
        <v>1.83</v>
      </c>
      <c r="I73">
        <f>Tabela1[[#This Row],[wage]]/POWER(Tabela1[[#This Row],[height (m)]],2)</f>
        <v>33.145211860610942</v>
      </c>
    </row>
    <row r="74" spans="1:9" hidden="1" x14ac:dyDescent="0.2">
      <c r="A74" t="s">
        <v>157</v>
      </c>
      <c r="B74" t="s">
        <v>158</v>
      </c>
      <c r="C74" t="s">
        <v>13</v>
      </c>
      <c r="D74">
        <v>25</v>
      </c>
      <c r="E74">
        <v>189</v>
      </c>
      <c r="F74">
        <v>119</v>
      </c>
      <c r="G74" t="s">
        <v>10</v>
      </c>
      <c r="H74">
        <f>Tabela1[[#This Row],[height]]/100</f>
        <v>1.89</v>
      </c>
      <c r="I74">
        <f>Tabela1[[#This Row],[wage]]/POWER(Tabela1[[#This Row],[height (m)]],2)</f>
        <v>33.313737017440722</v>
      </c>
    </row>
    <row r="75" spans="1:9" x14ac:dyDescent="0.2">
      <c r="A75" t="s">
        <v>159</v>
      </c>
      <c r="B75" t="s">
        <v>160</v>
      </c>
      <c r="C75" t="s">
        <v>9</v>
      </c>
      <c r="D75">
        <v>52</v>
      </c>
      <c r="E75">
        <v>169</v>
      </c>
      <c r="F75">
        <v>70</v>
      </c>
      <c r="G75" t="s">
        <v>10</v>
      </c>
      <c r="H75">
        <f>Tabela1[[#This Row],[height]]/100</f>
        <v>1.69</v>
      </c>
      <c r="I75">
        <f>Tabela1[[#This Row],[wage]]/POWER(Tabela1[[#This Row],[height (m)]],2)</f>
        <v>24.508945765204302</v>
      </c>
    </row>
    <row r="76" spans="1:9" hidden="1" x14ac:dyDescent="0.2">
      <c r="A76" t="s">
        <v>161</v>
      </c>
      <c r="B76" t="s">
        <v>162</v>
      </c>
      <c r="C76" t="s">
        <v>13</v>
      </c>
      <c r="D76">
        <v>48</v>
      </c>
      <c r="E76">
        <v>156</v>
      </c>
      <c r="F76">
        <v>64</v>
      </c>
      <c r="G76" t="s">
        <v>14</v>
      </c>
      <c r="H76">
        <f>Tabela1[[#This Row],[height]]/100</f>
        <v>1.56</v>
      </c>
      <c r="I76">
        <f>Tabela1[[#This Row],[wage]]/POWER(Tabela1[[#This Row],[height (m)]],2)</f>
        <v>26.298487836949374</v>
      </c>
    </row>
    <row r="77" spans="1:9" hidden="1" x14ac:dyDescent="0.2">
      <c r="A77" t="s">
        <v>163</v>
      </c>
      <c r="B77" t="s">
        <v>164</v>
      </c>
      <c r="C77" t="s">
        <v>13</v>
      </c>
      <c r="D77">
        <v>49</v>
      </c>
      <c r="E77">
        <v>158</v>
      </c>
      <c r="F77">
        <v>119</v>
      </c>
      <c r="G77" t="s">
        <v>17</v>
      </c>
      <c r="H77">
        <f>Tabela1[[#This Row],[height]]/100</f>
        <v>1.58</v>
      </c>
      <c r="I77">
        <f>Tabela1[[#This Row],[wage]]/POWER(Tabela1[[#This Row],[height (m)]],2)</f>
        <v>47.668642845697796</v>
      </c>
    </row>
    <row r="78" spans="1:9" hidden="1" x14ac:dyDescent="0.2">
      <c r="A78" t="s">
        <v>165</v>
      </c>
      <c r="B78" t="s">
        <v>166</v>
      </c>
      <c r="C78" t="s">
        <v>13</v>
      </c>
      <c r="D78">
        <v>43</v>
      </c>
      <c r="E78">
        <v>189</v>
      </c>
      <c r="F78">
        <v>100</v>
      </c>
      <c r="G78" t="s">
        <v>22</v>
      </c>
      <c r="H78">
        <f>Tabela1[[#This Row],[height]]/100</f>
        <v>1.89</v>
      </c>
      <c r="I78">
        <f>Tabela1[[#This Row],[wage]]/POWER(Tabela1[[#This Row],[height (m)]],2)</f>
        <v>27.994736989445986</v>
      </c>
    </row>
    <row r="79" spans="1:9" x14ac:dyDescent="0.2">
      <c r="A79" t="s">
        <v>167</v>
      </c>
      <c r="B79" t="s">
        <v>168</v>
      </c>
      <c r="C79" t="s">
        <v>9</v>
      </c>
      <c r="D79">
        <v>56</v>
      </c>
      <c r="E79">
        <v>196</v>
      </c>
      <c r="F79">
        <v>62</v>
      </c>
      <c r="G79" t="s">
        <v>17</v>
      </c>
      <c r="H79">
        <f>Tabela1[[#This Row],[height]]/100</f>
        <v>1.96</v>
      </c>
      <c r="I79">
        <f>Tabela1[[#This Row],[wage]]/POWER(Tabela1[[#This Row],[height (m)]],2)</f>
        <v>16.139108704706373</v>
      </c>
    </row>
    <row r="80" spans="1:9" hidden="1" x14ac:dyDescent="0.2">
      <c r="A80" t="s">
        <v>169</v>
      </c>
      <c r="B80" t="s">
        <v>170</v>
      </c>
      <c r="C80" t="s">
        <v>13</v>
      </c>
      <c r="D80">
        <v>48</v>
      </c>
      <c r="E80">
        <v>187</v>
      </c>
      <c r="F80">
        <v>84</v>
      </c>
      <c r="G80" t="s">
        <v>10</v>
      </c>
      <c r="H80">
        <f>Tabela1[[#This Row],[height]]/100</f>
        <v>1.87</v>
      </c>
      <c r="I80">
        <f>Tabela1[[#This Row],[wage]]/POWER(Tabela1[[#This Row],[height (m)]],2)</f>
        <v>24.021275987303035</v>
      </c>
    </row>
    <row r="81" spans="1:9" x14ac:dyDescent="0.2">
      <c r="A81" t="s">
        <v>171</v>
      </c>
      <c r="B81" t="s">
        <v>172</v>
      </c>
      <c r="C81" t="s">
        <v>9</v>
      </c>
      <c r="D81">
        <v>32</v>
      </c>
      <c r="E81">
        <v>173</v>
      </c>
      <c r="F81">
        <v>52</v>
      </c>
      <c r="G81" t="s">
        <v>10</v>
      </c>
      <c r="H81">
        <f>Tabela1[[#This Row],[height]]/100</f>
        <v>1.73</v>
      </c>
      <c r="I81">
        <f>Tabela1[[#This Row],[wage]]/POWER(Tabela1[[#This Row],[height (m)]],2)</f>
        <v>17.374452871796585</v>
      </c>
    </row>
    <row r="82" spans="1:9" x14ac:dyDescent="0.2">
      <c r="A82" t="s">
        <v>173</v>
      </c>
      <c r="B82" t="s">
        <v>174</v>
      </c>
      <c r="C82" t="s">
        <v>9</v>
      </c>
      <c r="D82">
        <v>39</v>
      </c>
      <c r="E82">
        <v>181</v>
      </c>
      <c r="F82">
        <v>107</v>
      </c>
      <c r="G82" t="s">
        <v>17</v>
      </c>
      <c r="H82">
        <f>Tabela1[[#This Row],[height]]/100</f>
        <v>1.81</v>
      </c>
      <c r="I82">
        <f>Tabela1[[#This Row],[wage]]/POWER(Tabela1[[#This Row],[height (m)]],2)</f>
        <v>32.660785690302497</v>
      </c>
    </row>
    <row r="83" spans="1:9" x14ac:dyDescent="0.2">
      <c r="A83" t="s">
        <v>175</v>
      </c>
      <c r="B83" t="s">
        <v>176</v>
      </c>
      <c r="C83" t="s">
        <v>9</v>
      </c>
      <c r="D83">
        <v>46</v>
      </c>
      <c r="E83">
        <v>156</v>
      </c>
      <c r="F83">
        <v>107</v>
      </c>
      <c r="G83" t="s">
        <v>10</v>
      </c>
      <c r="H83">
        <f>Tabela1[[#This Row],[height]]/100</f>
        <v>1.56</v>
      </c>
      <c r="I83">
        <f>Tabela1[[#This Row],[wage]]/POWER(Tabela1[[#This Row],[height (m)]],2)</f>
        <v>43.967784352399732</v>
      </c>
    </row>
    <row r="84" spans="1:9" x14ac:dyDescent="0.2">
      <c r="A84" t="s">
        <v>177</v>
      </c>
      <c r="B84" t="s">
        <v>178</v>
      </c>
      <c r="C84" t="s">
        <v>9</v>
      </c>
      <c r="D84">
        <v>49</v>
      </c>
      <c r="E84">
        <v>169</v>
      </c>
      <c r="F84">
        <v>87</v>
      </c>
      <c r="G84" t="s">
        <v>10</v>
      </c>
      <c r="H84">
        <f>Tabela1[[#This Row],[height]]/100</f>
        <v>1.69</v>
      </c>
      <c r="I84">
        <f>Tabela1[[#This Row],[wage]]/POWER(Tabela1[[#This Row],[height (m)]],2)</f>
        <v>30.461118308182492</v>
      </c>
    </row>
    <row r="85" spans="1:9" x14ac:dyDescent="0.2">
      <c r="A85" t="s">
        <v>179</v>
      </c>
      <c r="B85" t="s">
        <v>180</v>
      </c>
      <c r="C85" t="s">
        <v>9</v>
      </c>
      <c r="D85">
        <v>43</v>
      </c>
      <c r="E85">
        <v>194</v>
      </c>
      <c r="F85">
        <v>50</v>
      </c>
      <c r="G85" t="s">
        <v>14</v>
      </c>
      <c r="H85">
        <f>Tabela1[[#This Row],[height]]/100</f>
        <v>1.94</v>
      </c>
      <c r="I85">
        <f>Tabela1[[#This Row],[wage]]/POWER(Tabela1[[#This Row],[height (m)]],2)</f>
        <v>13.285152513550857</v>
      </c>
    </row>
    <row r="86" spans="1:9" x14ac:dyDescent="0.2">
      <c r="A86" t="s">
        <v>181</v>
      </c>
      <c r="B86" t="s">
        <v>182</v>
      </c>
      <c r="C86" t="s">
        <v>9</v>
      </c>
      <c r="D86">
        <v>29</v>
      </c>
      <c r="E86">
        <v>194</v>
      </c>
      <c r="F86">
        <v>120</v>
      </c>
      <c r="G86" t="s">
        <v>17</v>
      </c>
      <c r="H86">
        <f>Tabela1[[#This Row],[height]]/100</f>
        <v>1.94</v>
      </c>
      <c r="I86">
        <f>Tabela1[[#This Row],[wage]]/POWER(Tabela1[[#This Row],[height (m)]],2)</f>
        <v>31.884366032522056</v>
      </c>
    </row>
    <row r="87" spans="1:9" hidden="1" x14ac:dyDescent="0.2">
      <c r="A87" t="s">
        <v>183</v>
      </c>
      <c r="B87" t="s">
        <v>184</v>
      </c>
      <c r="C87" t="s">
        <v>13</v>
      </c>
      <c r="D87">
        <v>58</v>
      </c>
      <c r="E87">
        <v>195</v>
      </c>
      <c r="F87">
        <v>67</v>
      </c>
      <c r="G87" t="s">
        <v>14</v>
      </c>
      <c r="H87">
        <f>Tabela1[[#This Row],[height]]/100</f>
        <v>1.95</v>
      </c>
      <c r="I87">
        <f>Tabela1[[#This Row],[wage]]/POWER(Tabela1[[#This Row],[height (m)]],2)</f>
        <v>17.619986850756082</v>
      </c>
    </row>
    <row r="88" spans="1:9" hidden="1" x14ac:dyDescent="0.2">
      <c r="A88" t="s">
        <v>185</v>
      </c>
      <c r="B88" t="s">
        <v>186</v>
      </c>
      <c r="C88" t="s">
        <v>13</v>
      </c>
      <c r="D88">
        <v>34</v>
      </c>
      <c r="E88">
        <v>187</v>
      </c>
      <c r="F88">
        <v>81</v>
      </c>
      <c r="G88" t="s">
        <v>10</v>
      </c>
      <c r="H88">
        <f>Tabela1[[#This Row],[height]]/100</f>
        <v>1.87</v>
      </c>
      <c r="I88">
        <f>Tabela1[[#This Row],[wage]]/POWER(Tabela1[[#This Row],[height (m)]],2)</f>
        <v>23.163373273470786</v>
      </c>
    </row>
    <row r="89" spans="1:9" hidden="1" x14ac:dyDescent="0.2">
      <c r="A89" t="s">
        <v>187</v>
      </c>
      <c r="B89" t="s">
        <v>188</v>
      </c>
      <c r="C89" t="s">
        <v>13</v>
      </c>
      <c r="D89">
        <v>56</v>
      </c>
      <c r="E89">
        <v>160</v>
      </c>
      <c r="F89">
        <v>75</v>
      </c>
      <c r="G89" t="s">
        <v>17</v>
      </c>
      <c r="H89">
        <f>Tabela1[[#This Row],[height]]/100</f>
        <v>1.6</v>
      </c>
      <c r="I89">
        <f>Tabela1[[#This Row],[wage]]/POWER(Tabela1[[#This Row],[height (m)]],2)</f>
        <v>29.296874999999993</v>
      </c>
    </row>
    <row r="90" spans="1:9" x14ac:dyDescent="0.2">
      <c r="A90" t="s">
        <v>189</v>
      </c>
      <c r="B90" t="s">
        <v>190</v>
      </c>
      <c r="C90" t="s">
        <v>9</v>
      </c>
      <c r="D90">
        <v>20</v>
      </c>
      <c r="E90">
        <v>187</v>
      </c>
      <c r="F90">
        <v>113</v>
      </c>
      <c r="G90" t="s">
        <v>14</v>
      </c>
      <c r="H90">
        <f>Tabela1[[#This Row],[height]]/100</f>
        <v>1.87</v>
      </c>
      <c r="I90">
        <f>Tabela1[[#This Row],[wage]]/POWER(Tabela1[[#This Row],[height (m)]],2)</f>
        <v>32.314335554348133</v>
      </c>
    </row>
    <row r="91" spans="1:9" x14ac:dyDescent="0.2">
      <c r="A91" t="s">
        <v>191</v>
      </c>
      <c r="B91" t="s">
        <v>192</v>
      </c>
      <c r="C91" t="s">
        <v>9</v>
      </c>
      <c r="D91">
        <v>21</v>
      </c>
      <c r="E91">
        <v>173</v>
      </c>
      <c r="F91">
        <v>100</v>
      </c>
      <c r="G91" t="s">
        <v>10</v>
      </c>
      <c r="H91">
        <f>Tabela1[[#This Row],[height]]/100</f>
        <v>1.73</v>
      </c>
      <c r="I91">
        <f>Tabela1[[#This Row],[wage]]/POWER(Tabela1[[#This Row],[height (m)]],2)</f>
        <v>33.412409368839583</v>
      </c>
    </row>
    <row r="92" spans="1:9" x14ac:dyDescent="0.2">
      <c r="A92" t="s">
        <v>193</v>
      </c>
      <c r="B92" t="s">
        <v>194</v>
      </c>
      <c r="C92" t="s">
        <v>9</v>
      </c>
      <c r="D92">
        <v>21</v>
      </c>
      <c r="E92">
        <v>185</v>
      </c>
      <c r="F92">
        <v>62</v>
      </c>
      <c r="G92" t="s">
        <v>10</v>
      </c>
      <c r="H92">
        <f>Tabela1[[#This Row],[height]]/100</f>
        <v>1.85</v>
      </c>
      <c r="I92">
        <f>Tabela1[[#This Row],[wage]]/POWER(Tabela1[[#This Row],[height (m)]],2)</f>
        <v>18.115412710007302</v>
      </c>
    </row>
    <row r="93" spans="1:9" hidden="1" x14ac:dyDescent="0.2">
      <c r="A93" t="s">
        <v>195</v>
      </c>
      <c r="B93" t="s">
        <v>196</v>
      </c>
      <c r="C93" t="s">
        <v>13</v>
      </c>
      <c r="D93">
        <v>48</v>
      </c>
      <c r="E93">
        <v>185</v>
      </c>
      <c r="F93">
        <v>91</v>
      </c>
      <c r="G93" t="s">
        <v>10</v>
      </c>
      <c r="H93">
        <f>Tabela1[[#This Row],[height]]/100</f>
        <v>1.85</v>
      </c>
      <c r="I93">
        <f>Tabela1[[#This Row],[wage]]/POWER(Tabela1[[#This Row],[height (m)]],2)</f>
        <v>26.588750913075234</v>
      </c>
    </row>
    <row r="94" spans="1:9" x14ac:dyDescent="0.2">
      <c r="A94" t="s">
        <v>197</v>
      </c>
      <c r="B94" t="s">
        <v>198</v>
      </c>
      <c r="C94" t="s">
        <v>9</v>
      </c>
      <c r="D94">
        <v>35</v>
      </c>
      <c r="E94">
        <v>166</v>
      </c>
      <c r="F94">
        <v>120</v>
      </c>
      <c r="G94" t="s">
        <v>10</v>
      </c>
      <c r="H94">
        <f>Tabela1[[#This Row],[height]]/100</f>
        <v>1.66</v>
      </c>
      <c r="I94">
        <f>Tabela1[[#This Row],[wage]]/POWER(Tabela1[[#This Row],[height (m)]],2)</f>
        <v>43.547684714762667</v>
      </c>
    </row>
    <row r="95" spans="1:9" x14ac:dyDescent="0.2">
      <c r="A95" t="s">
        <v>199</v>
      </c>
      <c r="B95" t="s">
        <v>200</v>
      </c>
      <c r="C95" t="s">
        <v>9</v>
      </c>
      <c r="D95">
        <v>25</v>
      </c>
      <c r="E95">
        <v>175</v>
      </c>
      <c r="F95">
        <v>102</v>
      </c>
      <c r="G95" t="s">
        <v>10</v>
      </c>
      <c r="H95">
        <f>Tabela1[[#This Row],[height]]/100</f>
        <v>1.75</v>
      </c>
      <c r="I95">
        <f>Tabela1[[#This Row],[wage]]/POWER(Tabela1[[#This Row],[height (m)]],2)</f>
        <v>33.306122448979593</v>
      </c>
    </row>
    <row r="96" spans="1:9" x14ac:dyDescent="0.2">
      <c r="A96" t="s">
        <v>201</v>
      </c>
      <c r="B96" t="s">
        <v>202</v>
      </c>
      <c r="C96" t="s">
        <v>9</v>
      </c>
      <c r="D96">
        <v>43</v>
      </c>
      <c r="E96">
        <v>190</v>
      </c>
      <c r="F96">
        <v>81</v>
      </c>
      <c r="G96" t="s">
        <v>10</v>
      </c>
      <c r="H96">
        <f>Tabela1[[#This Row],[height]]/100</f>
        <v>1.9</v>
      </c>
      <c r="I96">
        <f>Tabela1[[#This Row],[wage]]/POWER(Tabela1[[#This Row],[height (m)]],2)</f>
        <v>22.437673130193907</v>
      </c>
    </row>
    <row r="97" spans="1:9" x14ac:dyDescent="0.2">
      <c r="A97" t="s">
        <v>203</v>
      </c>
      <c r="B97" t="s">
        <v>204</v>
      </c>
      <c r="C97" t="s">
        <v>9</v>
      </c>
      <c r="D97">
        <v>35</v>
      </c>
      <c r="E97">
        <v>190</v>
      </c>
      <c r="F97">
        <v>94</v>
      </c>
      <c r="G97" t="s">
        <v>22</v>
      </c>
      <c r="H97">
        <f>Tabela1[[#This Row],[height]]/100</f>
        <v>1.9</v>
      </c>
      <c r="I97">
        <f>Tabela1[[#This Row],[wage]]/POWER(Tabela1[[#This Row],[height (m)]],2)</f>
        <v>26.038781163434905</v>
      </c>
    </row>
    <row r="98" spans="1:9" hidden="1" x14ac:dyDescent="0.2">
      <c r="A98" t="s">
        <v>205</v>
      </c>
      <c r="B98" t="s">
        <v>206</v>
      </c>
      <c r="C98" t="s">
        <v>13</v>
      </c>
      <c r="D98">
        <v>59</v>
      </c>
      <c r="E98">
        <v>192</v>
      </c>
      <c r="F98">
        <v>102</v>
      </c>
      <c r="G98" t="s">
        <v>22</v>
      </c>
      <c r="H98">
        <f>Tabela1[[#This Row],[height]]/100</f>
        <v>1.92</v>
      </c>
      <c r="I98">
        <f>Tabela1[[#This Row],[wage]]/POWER(Tabela1[[#This Row],[height (m)]],2)</f>
        <v>27.669270833333336</v>
      </c>
    </row>
    <row r="99" spans="1:9" hidden="1" x14ac:dyDescent="0.2">
      <c r="A99" t="s">
        <v>207</v>
      </c>
      <c r="B99" t="s">
        <v>208</v>
      </c>
      <c r="C99" t="s">
        <v>13</v>
      </c>
      <c r="D99">
        <v>35</v>
      </c>
      <c r="E99">
        <v>179</v>
      </c>
      <c r="F99">
        <v>110</v>
      </c>
      <c r="G99" t="s">
        <v>22</v>
      </c>
      <c r="H99">
        <f>Tabela1[[#This Row],[height]]/100</f>
        <v>1.79</v>
      </c>
      <c r="I99">
        <f>Tabela1[[#This Row],[wage]]/POWER(Tabela1[[#This Row],[height (m)]],2)</f>
        <v>34.331013389095226</v>
      </c>
    </row>
    <row r="100" spans="1:9" x14ac:dyDescent="0.2">
      <c r="A100" t="s">
        <v>209</v>
      </c>
      <c r="B100" t="s">
        <v>210</v>
      </c>
      <c r="C100" t="s">
        <v>9</v>
      </c>
      <c r="D100">
        <v>44</v>
      </c>
      <c r="E100">
        <v>157</v>
      </c>
      <c r="F100">
        <v>117</v>
      </c>
      <c r="G100" t="s">
        <v>10</v>
      </c>
      <c r="H100">
        <f>Tabela1[[#This Row],[height]]/100</f>
        <v>1.57</v>
      </c>
      <c r="I100">
        <f>Tabela1[[#This Row],[wage]]/POWER(Tabela1[[#This Row],[height (m)]],2)</f>
        <v>47.466428658363419</v>
      </c>
    </row>
    <row r="101" spans="1:9" x14ac:dyDescent="0.2">
      <c r="A101" t="s">
        <v>211</v>
      </c>
      <c r="B101" t="s">
        <v>212</v>
      </c>
      <c r="C101" t="s">
        <v>9</v>
      </c>
      <c r="D101">
        <v>20</v>
      </c>
      <c r="E101">
        <v>180</v>
      </c>
      <c r="F101">
        <v>68</v>
      </c>
      <c r="G101" t="s">
        <v>10</v>
      </c>
      <c r="H101">
        <f>Tabela1[[#This Row],[height]]/100</f>
        <v>1.8</v>
      </c>
      <c r="I101">
        <f>Tabela1[[#This Row],[wage]]/POWER(Tabela1[[#This Row],[height (m)]],2)</f>
        <v>20.987654320987652</v>
      </c>
    </row>
    <row r="102" spans="1:9" x14ac:dyDescent="0.2">
      <c r="A102" t="s">
        <v>213</v>
      </c>
    </row>
    <row r="104" spans="1:9" x14ac:dyDescent="0.2">
      <c r="A104" s="1" t="s">
        <v>215</v>
      </c>
      <c r="B104" t="s">
        <v>214</v>
      </c>
    </row>
    <row r="105" spans="1:9" x14ac:dyDescent="0.2">
      <c r="A105" s="2" t="s">
        <v>13</v>
      </c>
      <c r="B105">
        <v>44</v>
      </c>
    </row>
    <row r="106" spans="1:9" x14ac:dyDescent="0.2">
      <c r="A106" s="2" t="s">
        <v>9</v>
      </c>
      <c r="B106">
        <v>56</v>
      </c>
    </row>
    <row r="107" spans="1:9" x14ac:dyDescent="0.2">
      <c r="A107" s="2" t="s">
        <v>216</v>
      </c>
      <c r="B107">
        <v>100</v>
      </c>
    </row>
    <row r="109" spans="1:9" x14ac:dyDescent="0.2">
      <c r="A109" s="1" t="s">
        <v>215</v>
      </c>
      <c r="B109" t="s">
        <v>217</v>
      </c>
    </row>
    <row r="110" spans="1:9" x14ac:dyDescent="0.2">
      <c r="A110" s="2" t="s">
        <v>10</v>
      </c>
      <c r="B110">
        <v>36</v>
      </c>
    </row>
    <row r="111" spans="1:9" x14ac:dyDescent="0.2">
      <c r="A111" s="2" t="s">
        <v>17</v>
      </c>
      <c r="B111">
        <v>20</v>
      </c>
    </row>
    <row r="112" spans="1:9" x14ac:dyDescent="0.2">
      <c r="A112" s="2" t="s">
        <v>14</v>
      </c>
      <c r="B112">
        <v>21</v>
      </c>
    </row>
    <row r="113" spans="1:6" x14ac:dyDescent="0.2">
      <c r="A113" s="2" t="s">
        <v>22</v>
      </c>
      <c r="B113">
        <v>23</v>
      </c>
    </row>
    <row r="114" spans="1:6" x14ac:dyDescent="0.2">
      <c r="A114" s="2" t="s">
        <v>216</v>
      </c>
      <c r="B114">
        <v>100</v>
      </c>
    </row>
    <row r="116" spans="1:6" x14ac:dyDescent="0.2">
      <c r="A116" s="1" t="s">
        <v>215</v>
      </c>
      <c r="B116" t="s">
        <v>218</v>
      </c>
    </row>
    <row r="117" spans="1:6" x14ac:dyDescent="0.2">
      <c r="A117" s="2" t="s">
        <v>10</v>
      </c>
      <c r="B117">
        <v>197</v>
      </c>
    </row>
    <row r="118" spans="1:6" x14ac:dyDescent="0.2">
      <c r="A118" s="2" t="s">
        <v>17</v>
      </c>
      <c r="B118">
        <v>197</v>
      </c>
    </row>
    <row r="119" spans="1:6" x14ac:dyDescent="0.2">
      <c r="A119" s="2" t="s">
        <v>14</v>
      </c>
      <c r="B119">
        <v>196</v>
      </c>
    </row>
    <row r="120" spans="1:6" x14ac:dyDescent="0.2">
      <c r="A120" s="2" t="s">
        <v>22</v>
      </c>
      <c r="B120">
        <v>194</v>
      </c>
    </row>
    <row r="121" spans="1:6" x14ac:dyDescent="0.2">
      <c r="A121" s="2" t="s">
        <v>216</v>
      </c>
      <c r="B121">
        <v>197</v>
      </c>
    </row>
    <row r="123" spans="1:6" x14ac:dyDescent="0.2">
      <c r="A123" s="1" t="s">
        <v>223</v>
      </c>
      <c r="B123" s="1" t="s">
        <v>220</v>
      </c>
    </row>
    <row r="124" spans="1:6" x14ac:dyDescent="0.2">
      <c r="A124" s="1" t="s">
        <v>215</v>
      </c>
      <c r="B124" t="s">
        <v>10</v>
      </c>
      <c r="C124" t="s">
        <v>17</v>
      </c>
      <c r="D124" t="s">
        <v>14</v>
      </c>
      <c r="E124" t="s">
        <v>22</v>
      </c>
      <c r="F124" t="s">
        <v>216</v>
      </c>
    </row>
    <row r="125" spans="1:6" x14ac:dyDescent="0.2">
      <c r="A125" s="2">
        <v>19.100091827364558</v>
      </c>
      <c r="C125">
        <v>1</v>
      </c>
      <c r="F125">
        <v>1</v>
      </c>
    </row>
    <row r="126" spans="1:6" x14ac:dyDescent="0.2">
      <c r="A126" s="2">
        <v>19.605191995673341</v>
      </c>
      <c r="E126">
        <v>1</v>
      </c>
      <c r="F126">
        <v>1</v>
      </c>
    </row>
    <row r="127" spans="1:6" x14ac:dyDescent="0.2">
      <c r="A127" s="2">
        <v>20.811654526534856</v>
      </c>
      <c r="C127">
        <v>1</v>
      </c>
      <c r="F127">
        <v>1</v>
      </c>
    </row>
    <row r="128" spans="1:6" x14ac:dyDescent="0.2">
      <c r="A128" s="2">
        <v>20.871447344688089</v>
      </c>
      <c r="B128">
        <v>1</v>
      </c>
      <c r="F128">
        <v>1</v>
      </c>
    </row>
    <row r="129" spans="1:6" x14ac:dyDescent="0.2">
      <c r="A129" s="2">
        <v>20.987654320987652</v>
      </c>
      <c r="B129">
        <v>1</v>
      </c>
      <c r="F129">
        <v>1</v>
      </c>
    </row>
    <row r="130" spans="1:6" x14ac:dyDescent="0.2">
      <c r="A130" s="2">
        <v>21.256244021681368</v>
      </c>
      <c r="D130">
        <v>1</v>
      </c>
      <c r="F130">
        <v>1</v>
      </c>
    </row>
    <row r="131" spans="1:6" x14ac:dyDescent="0.2">
      <c r="A131" s="2">
        <v>21.453573713726524</v>
      </c>
      <c r="E131">
        <v>1</v>
      </c>
      <c r="F131">
        <v>1</v>
      </c>
    </row>
    <row r="132" spans="1:6" x14ac:dyDescent="0.2">
      <c r="A132" s="2">
        <v>21.545090797168363</v>
      </c>
      <c r="E132">
        <v>1</v>
      </c>
      <c r="F132">
        <v>1</v>
      </c>
    </row>
    <row r="133" spans="1:6" x14ac:dyDescent="0.2">
      <c r="A133" s="2">
        <v>21.561909262759922</v>
      </c>
      <c r="D133">
        <v>1</v>
      </c>
      <c r="F133">
        <v>1</v>
      </c>
    </row>
    <row r="134" spans="1:6" x14ac:dyDescent="0.2">
      <c r="A134" s="2">
        <v>22.129739727837229</v>
      </c>
      <c r="B134">
        <v>1</v>
      </c>
      <c r="F134">
        <v>1</v>
      </c>
    </row>
    <row r="135" spans="1:6" x14ac:dyDescent="0.2">
      <c r="A135" s="2">
        <v>22.308149910767405</v>
      </c>
      <c r="D135">
        <v>1</v>
      </c>
      <c r="F135">
        <v>1</v>
      </c>
    </row>
    <row r="136" spans="1:6" x14ac:dyDescent="0.2">
      <c r="A136" s="2">
        <v>22.437673130193907</v>
      </c>
      <c r="B136">
        <v>1</v>
      </c>
      <c r="F136">
        <v>1</v>
      </c>
    </row>
    <row r="137" spans="1:6" x14ac:dyDescent="0.2">
      <c r="A137" s="2">
        <v>22.600262984878366</v>
      </c>
      <c r="E137">
        <v>1</v>
      </c>
      <c r="F137">
        <v>1</v>
      </c>
    </row>
    <row r="138" spans="1:6" x14ac:dyDescent="0.2">
      <c r="A138" s="2">
        <v>23.163373273470786</v>
      </c>
      <c r="B138">
        <v>1</v>
      </c>
      <c r="F138">
        <v>1</v>
      </c>
    </row>
    <row r="139" spans="1:6" x14ac:dyDescent="0.2">
      <c r="A139" s="2">
        <v>23.20054323223178</v>
      </c>
      <c r="E139">
        <v>1</v>
      </c>
      <c r="F139">
        <v>1</v>
      </c>
    </row>
    <row r="140" spans="1:6" x14ac:dyDescent="0.2">
      <c r="A140" s="2">
        <v>23.291229956104985</v>
      </c>
      <c r="B140">
        <v>1</v>
      </c>
      <c r="F140">
        <v>1</v>
      </c>
    </row>
    <row r="141" spans="1:6" x14ac:dyDescent="0.2">
      <c r="A141" s="2">
        <v>23.875114784205696</v>
      </c>
      <c r="D141">
        <v>1</v>
      </c>
      <c r="F141">
        <v>1</v>
      </c>
    </row>
    <row r="142" spans="1:6" x14ac:dyDescent="0.2">
      <c r="A142" s="2">
        <v>24.021275987303035</v>
      </c>
      <c r="B142">
        <v>1</v>
      </c>
      <c r="F142">
        <v>1</v>
      </c>
    </row>
    <row r="143" spans="1:6" x14ac:dyDescent="0.2">
      <c r="A143" s="2">
        <v>24.508945765204302</v>
      </c>
      <c r="B143">
        <v>1</v>
      </c>
      <c r="F143">
        <v>1</v>
      </c>
    </row>
    <row r="144" spans="1:6" x14ac:dyDescent="0.2">
      <c r="A144" s="2" t="s">
        <v>216</v>
      </c>
      <c r="B144">
        <v>8</v>
      </c>
      <c r="C144">
        <v>2</v>
      </c>
      <c r="D144">
        <v>4</v>
      </c>
      <c r="E144">
        <v>5</v>
      </c>
      <c r="F144">
        <v>19</v>
      </c>
    </row>
    <row r="146" spans="1:2" x14ac:dyDescent="0.2">
      <c r="A146" s="1" t="s">
        <v>215</v>
      </c>
      <c r="B146" t="s">
        <v>222</v>
      </c>
    </row>
    <row r="147" spans="1:2" x14ac:dyDescent="0.2">
      <c r="A147" s="2" t="s">
        <v>10</v>
      </c>
      <c r="B147">
        <v>28.908099364506914</v>
      </c>
    </row>
    <row r="148" spans="1:2" x14ac:dyDescent="0.2">
      <c r="A148" s="2" t="s">
        <v>17</v>
      </c>
      <c r="B148">
        <v>29.524371185012615</v>
      </c>
    </row>
    <row r="149" spans="1:2" x14ac:dyDescent="0.2">
      <c r="A149" s="2" t="s">
        <v>14</v>
      </c>
      <c r="B149">
        <v>27.75264293627081</v>
      </c>
    </row>
    <row r="150" spans="1:2" x14ac:dyDescent="0.2">
      <c r="A150" s="2" t="s">
        <v>22</v>
      </c>
      <c r="B150">
        <v>28.920757293711628</v>
      </c>
    </row>
    <row r="151" spans="1:2" x14ac:dyDescent="0.2">
      <c r="A151" s="2" t="s">
        <v>216</v>
      </c>
      <c r="B151">
        <v>28.791619202395562</v>
      </c>
    </row>
    <row r="153" spans="1:2" x14ac:dyDescent="0.2">
      <c r="A153" s="1" t="s">
        <v>215</v>
      </c>
      <c r="B153" t="s">
        <v>224</v>
      </c>
    </row>
    <row r="154" spans="1:2" x14ac:dyDescent="0.2">
      <c r="A154" s="2" t="s">
        <v>14</v>
      </c>
      <c r="B154">
        <v>83.238095238095241</v>
      </c>
    </row>
    <row r="155" spans="1:2" x14ac:dyDescent="0.2">
      <c r="A155" s="3" t="s">
        <v>13</v>
      </c>
      <c r="B155">
        <v>83.666666666666671</v>
      </c>
    </row>
    <row r="156" spans="1:2" x14ac:dyDescent="0.2">
      <c r="A156" s="3" t="s">
        <v>9</v>
      </c>
      <c r="B156">
        <v>82.916666666666671</v>
      </c>
    </row>
    <row r="157" spans="1:2" x14ac:dyDescent="0.2">
      <c r="A157" s="2" t="s">
        <v>22</v>
      </c>
      <c r="B157">
        <v>87</v>
      </c>
    </row>
    <row r="158" spans="1:2" x14ac:dyDescent="0.2">
      <c r="A158" s="3" t="s">
        <v>13</v>
      </c>
      <c r="B158">
        <v>81.583333333333329</v>
      </c>
    </row>
    <row r="159" spans="1:2" x14ac:dyDescent="0.2">
      <c r="A159" s="3" t="s">
        <v>9</v>
      </c>
      <c r="B159">
        <v>92.909090909090907</v>
      </c>
    </row>
    <row r="160" spans="1:2" x14ac:dyDescent="0.2">
      <c r="A160" s="2" t="s">
        <v>216</v>
      </c>
      <c r="B160">
        <v>85.204545454545453</v>
      </c>
    </row>
  </sheetData>
  <phoneticPr fontId="2" type="noConversion"/>
  <pageMargins left="0.75" right="0.75" top="1" bottom="1" header="0.5" footer="0.5"/>
  <tableParts count="1"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A8CA2D-BA2E-4640-8669-F7709BE27C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medical-data (4)</vt:lpstr>
      <vt:lpstr>medical-data (3)</vt:lpstr>
      <vt:lpstr>medical-data (2)</vt:lpstr>
      <vt:lpstr>medical-data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s-A121-19</cp:lastModifiedBy>
  <dcterms:modified xsi:type="dcterms:W3CDTF">2026-03-27T11:27:45Z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2024-04-11T11:50:08Z</dcterms:created>
  <cp:revision>0</cp:revision>
</cp:coreProperties>
</file>